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intkovacs/Documents/GitHub/LogisticsCase/"/>
    </mc:Choice>
  </mc:AlternateContent>
  <xr:revisionPtr revIDLastSave="0" documentId="8_{0656F265-E346-D84F-ABDB-94684A1DE1A9}" xr6:coauthVersionLast="47" xr6:coauthVersionMax="47" xr10:uidLastSave="{00000000-0000-0000-0000-000000000000}"/>
  <bookViews>
    <workbookView xWindow="3080" yWindow="2200" windowWidth="28040" windowHeight="17180" activeTab="1" xr2:uid="{36A1B23A-05AB-BF40-B76C-5B527011AD69}"/>
  </bookViews>
  <sheets>
    <sheet name="capacity_sweep_fee_0.00" sheetId="1" r:id="rId1"/>
    <sheet name="capacity &amp; battery prices" sheetId="2" r:id="rId2"/>
    <sheet name="capacity_sweep_fee_0.01" sheetId="3" r:id="rId3"/>
  </sheets>
  <definedNames>
    <definedName name="_xlnm._FilterDatabase" localSheetId="0" hidden="1">'capacity_sweep_fee_0.00'!$A$1:$A$33</definedName>
    <definedName name="capacity_sweep_fee_0.01" localSheetId="2">'capacity_sweep_fee_0.01'!$A$1:$Q$33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3" l="1"/>
  <c r="R33" i="3" s="1"/>
  <c r="R30" i="3"/>
  <c r="R31" i="3" s="1"/>
  <c r="R28" i="3"/>
  <c r="S28" i="3" s="1"/>
  <c r="S29" i="3" s="1"/>
  <c r="R26" i="3"/>
  <c r="R27" i="3" s="1"/>
  <c r="R24" i="3"/>
  <c r="R25" i="3" s="1"/>
  <c r="R22" i="3"/>
  <c r="R23" i="3" s="1"/>
  <c r="R20" i="3"/>
  <c r="R21" i="3" s="1"/>
  <c r="R18" i="3"/>
  <c r="S18" i="3" s="1"/>
  <c r="S19" i="3" s="1"/>
  <c r="R16" i="3"/>
  <c r="S16" i="3" s="1"/>
  <c r="S17" i="3" s="1"/>
  <c r="R14" i="3"/>
  <c r="R15" i="3" s="1"/>
  <c r="R12" i="3"/>
  <c r="R13" i="3" s="1"/>
  <c r="R10" i="3"/>
  <c r="S10" i="3" s="1"/>
  <c r="S11" i="3" s="1"/>
  <c r="R8" i="3"/>
  <c r="S8" i="3" s="1"/>
  <c r="S9" i="3" s="1"/>
  <c r="R6" i="3"/>
  <c r="S6" i="3" s="1"/>
  <c r="S7" i="3" s="1"/>
  <c r="R4" i="3"/>
  <c r="R5" i="3" s="1"/>
  <c r="R2" i="3"/>
  <c r="R3" i="3" s="1"/>
  <c r="Q33" i="1"/>
  <c r="Q31" i="1"/>
  <c r="Q29" i="1"/>
  <c r="Q27" i="1"/>
  <c r="Q25" i="1"/>
  <c r="Q23" i="1"/>
  <c r="Q21" i="1"/>
  <c r="Q19" i="1"/>
  <c r="Q17" i="1"/>
  <c r="Q15" i="1"/>
  <c r="Q13" i="1"/>
  <c r="Q11" i="1"/>
  <c r="Q9" i="1"/>
  <c r="Q7" i="1"/>
  <c r="Q5" i="1"/>
  <c r="T33" i="1"/>
  <c r="S33" i="1"/>
  <c r="T31" i="1"/>
  <c r="S31" i="1"/>
  <c r="T29" i="1"/>
  <c r="S29" i="1"/>
  <c r="T27" i="1"/>
  <c r="S27" i="1"/>
  <c r="T25" i="1"/>
  <c r="S25" i="1"/>
  <c r="T23" i="1"/>
  <c r="S23" i="1"/>
  <c r="T21" i="1"/>
  <c r="S21" i="1"/>
  <c r="T19" i="1"/>
  <c r="S19" i="1"/>
  <c r="T17" i="1"/>
  <c r="S17" i="1"/>
  <c r="T15" i="1"/>
  <c r="S15" i="1"/>
  <c r="T13" i="1"/>
  <c r="S13" i="1"/>
  <c r="T11" i="1"/>
  <c r="S11" i="1"/>
  <c r="T9" i="1"/>
  <c r="S9" i="1"/>
  <c r="T7" i="1"/>
  <c r="S7" i="1"/>
  <c r="T5" i="1"/>
  <c r="S5" i="1"/>
  <c r="S4" i="1"/>
  <c r="T4" i="1"/>
  <c r="T3" i="1"/>
  <c r="S3" i="1"/>
  <c r="T32" i="1"/>
  <c r="T30" i="1"/>
  <c r="T28" i="1"/>
  <c r="T26" i="1"/>
  <c r="T24" i="1"/>
  <c r="T22" i="1"/>
  <c r="T20" i="1"/>
  <c r="T18" i="1"/>
  <c r="T16" i="1"/>
  <c r="T14" i="1"/>
  <c r="T12" i="1"/>
  <c r="T10" i="1"/>
  <c r="T8" i="1"/>
  <c r="T6" i="1"/>
  <c r="T2" i="1"/>
  <c r="S32" i="1"/>
  <c r="S30" i="1"/>
  <c r="S28" i="1"/>
  <c r="S26" i="1"/>
  <c r="S24" i="1"/>
  <c r="S22" i="1"/>
  <c r="S20" i="1"/>
  <c r="S18" i="1"/>
  <c r="S16" i="1"/>
  <c r="S14" i="1"/>
  <c r="S12" i="1"/>
  <c r="S10" i="1"/>
  <c r="S8" i="1"/>
  <c r="S6" i="1"/>
  <c r="S2" i="1"/>
  <c r="Q32" i="1"/>
  <c r="Q30" i="1"/>
  <c r="Q28" i="1"/>
  <c r="Q26" i="1"/>
  <c r="Q24" i="1"/>
  <c r="Q22" i="1"/>
  <c r="Q20" i="1"/>
  <c r="Q18" i="1"/>
  <c r="Q16" i="1"/>
  <c r="Q14" i="1"/>
  <c r="Q12" i="1"/>
  <c r="Q10" i="1"/>
  <c r="Q8" i="1"/>
  <c r="Q6" i="1"/>
  <c r="Q4" i="1"/>
  <c r="R19" i="3" l="1"/>
  <c r="R9" i="3"/>
  <c r="R29" i="3"/>
  <c r="S4" i="3"/>
  <c r="S5" i="3" s="1"/>
  <c r="S24" i="3"/>
  <c r="S25" i="3" s="1"/>
  <c r="S20" i="3"/>
  <c r="S21" i="3" s="1"/>
  <c r="R11" i="3"/>
  <c r="S2" i="3"/>
  <c r="S3" i="3" s="1"/>
  <c r="S12" i="3"/>
  <c r="S13" i="3" s="1"/>
  <c r="S22" i="3"/>
  <c r="S23" i="3" s="1"/>
  <c r="S32" i="3"/>
  <c r="S33" i="3" s="1"/>
  <c r="S14" i="3"/>
  <c r="S15" i="3" s="1"/>
  <c r="S26" i="3"/>
  <c r="S27" i="3" s="1"/>
  <c r="R7" i="3"/>
  <c r="R17" i="3"/>
  <c r="S30" i="3"/>
  <c r="S3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15572C-5F9F-D143-B0FA-DB4C274AB79B}" name="capacity_sweep_fee_0.01" type="6" refreshedVersion="8" background="1" saveData="1">
    <textPr codePage="10000" sourceFile="/Users/balintkovacs/Documents/GitHub/LogisticsCase/capacity_sweep_fee_0.01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<sst xmlns="http://schemas.openxmlformats.org/spreadsheetml/2006/main" count="106" uniqueCount="25">
  <si>
    <t>model</t>
  </si>
  <si>
    <t>grid_fee</t>
  </si>
  <si>
    <t>solver_objective</t>
  </si>
  <si>
    <t>solve_time_sec</t>
  </si>
  <si>
    <t>total_charge_kwh</t>
  </si>
  <si>
    <t>total_discharge_kwh</t>
  </si>
  <si>
    <t>equivalent_cycles</t>
  </si>
  <si>
    <t>avg_soc</t>
  </si>
  <si>
    <t>soc_std</t>
  </si>
  <si>
    <t>charge_periods</t>
  </si>
  <si>
    <t>discharge_periods</t>
  </si>
  <si>
    <t>idle_periods</t>
  </si>
  <si>
    <t>final_soc</t>
  </si>
  <si>
    <t>baseline_cost</t>
  </si>
  <si>
    <t>battery_term</t>
  </si>
  <si>
    <t>battery_value</t>
  </si>
  <si>
    <t>battery_capacity_kwh</t>
  </si>
  <si>
    <t>BO-MIP</t>
  </si>
  <si>
    <t>TO-MIP</t>
  </si>
  <si>
    <t>incremental_value_per_kwh</t>
  </si>
  <si>
    <t>Capacity (kWh)</t>
  </si>
  <si>
    <t>Estimated total installed cost (USD)</t>
  </si>
  <si>
    <t>Implied $/kWh</t>
  </si>
  <si>
    <t>battery_price</t>
  </si>
  <si>
    <t>years_to_break_even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</si>
</sst>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3" fontId="0" fillId="0" borderId="0" xfId="0" applyNumberFormat="1"/>
    <xf numFmtId="4" fontId="0" fillId="0" borderId="0" xfId="0" applyNumberFormat="1"/>
    <xf numFmtId="0" fontId="18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'capacity_sweep_fee_0.00'!$P$1</c:f>
              <c:strCache>
                <c:ptCount val="1"/>
                <c:pt idx="0">
                  <c:v>battery_value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'capacity_sweep_fee_0.00'!$R$2:$R$32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7.5</c:v>
                </c:pt>
                <c:pt idx="3">
                  <c:v>7.5</c:v>
                </c:pt>
                <c:pt idx="4">
                  <c:v>10</c:v>
                </c:pt>
                <c:pt idx="5">
                  <c:v>10</c:v>
                </c:pt>
                <c:pt idx="6">
                  <c:v>13.5</c:v>
                </c:pt>
                <c:pt idx="7">
                  <c:v>13.5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20</c:v>
                </c:pt>
                <c:pt idx="12">
                  <c:v>23.5</c:v>
                </c:pt>
                <c:pt idx="13">
                  <c:v>23.5</c:v>
                </c:pt>
                <c:pt idx="14">
                  <c:v>27</c:v>
                </c:pt>
                <c:pt idx="15">
                  <c:v>27</c:v>
                </c:pt>
                <c:pt idx="16">
                  <c:v>31</c:v>
                </c:pt>
                <c:pt idx="17">
                  <c:v>31</c:v>
                </c:pt>
                <c:pt idx="18">
                  <c:v>35</c:v>
                </c:pt>
                <c:pt idx="19">
                  <c:v>35</c:v>
                </c:pt>
                <c:pt idx="20">
                  <c:v>38</c:v>
                </c:pt>
                <c:pt idx="21">
                  <c:v>38</c:v>
                </c:pt>
                <c:pt idx="22">
                  <c:v>40.5</c:v>
                </c:pt>
                <c:pt idx="23">
                  <c:v>40.5</c:v>
                </c:pt>
                <c:pt idx="24">
                  <c:v>54</c:v>
                </c:pt>
                <c:pt idx="25">
                  <c:v>54</c:v>
                </c:pt>
                <c:pt idx="26">
                  <c:v>81</c:v>
                </c:pt>
                <c:pt idx="27">
                  <c:v>81</c:v>
                </c:pt>
                <c:pt idx="28">
                  <c:v>108</c:v>
                </c:pt>
                <c:pt idx="29">
                  <c:v>108</c:v>
                </c:pt>
                <c:pt idx="30">
                  <c:v>130</c:v>
                </c:pt>
              </c:numCache>
            </c:numRef>
          </c:xVal>
          <c:yVal>
            <c:numRef>
              <c:f>'capacity_sweep_fee_0.00'!$P$2:$P$32</c:f>
              <c:numCache>
                <c:formatCode>General</c:formatCode>
                <c:ptCount val="31"/>
                <c:pt idx="0">
                  <c:v>170.963417276592</c:v>
                </c:pt>
                <c:pt idx="1">
                  <c:v>170.964964198199</c:v>
                </c:pt>
                <c:pt idx="2">
                  <c:v>233.43782157036</c:v>
                </c:pt>
                <c:pt idx="3">
                  <c:v>233.437613507202</c:v>
                </c:pt>
                <c:pt idx="4">
                  <c:v>278.42649659930697</c:v>
                </c:pt>
                <c:pt idx="5">
                  <c:v>278.42649854930698</c:v>
                </c:pt>
                <c:pt idx="6">
                  <c:v>320.16573234459798</c:v>
                </c:pt>
                <c:pt idx="7">
                  <c:v>320.16573265249201</c:v>
                </c:pt>
                <c:pt idx="8">
                  <c:v>331.35763457312902</c:v>
                </c:pt>
                <c:pt idx="9">
                  <c:v>331.35763457312902</c:v>
                </c:pt>
                <c:pt idx="10">
                  <c:v>352.79928700706301</c:v>
                </c:pt>
                <c:pt idx="11">
                  <c:v>352.79928700706301</c:v>
                </c:pt>
                <c:pt idx="12">
                  <c:v>360.49764804432101</c:v>
                </c:pt>
                <c:pt idx="13">
                  <c:v>360.49739807202201</c:v>
                </c:pt>
                <c:pt idx="14">
                  <c:v>366.35373860955599</c:v>
                </c:pt>
                <c:pt idx="15">
                  <c:v>366.35380663130098</c:v>
                </c:pt>
                <c:pt idx="16">
                  <c:v>371.71929951606597</c:v>
                </c:pt>
                <c:pt idx="17">
                  <c:v>371.71938145512399</c:v>
                </c:pt>
                <c:pt idx="18">
                  <c:v>375.95414464875199</c:v>
                </c:pt>
                <c:pt idx="19">
                  <c:v>375.95414464875199</c:v>
                </c:pt>
                <c:pt idx="20">
                  <c:v>378.54670226343399</c:v>
                </c:pt>
                <c:pt idx="21">
                  <c:v>378.54670226343399</c:v>
                </c:pt>
                <c:pt idx="22">
                  <c:v>380.452327795982</c:v>
                </c:pt>
                <c:pt idx="23">
                  <c:v>380.452327795982</c:v>
                </c:pt>
                <c:pt idx="24">
                  <c:v>388.54746778656403</c:v>
                </c:pt>
                <c:pt idx="25">
                  <c:v>388.54746778656403</c:v>
                </c:pt>
                <c:pt idx="26">
                  <c:v>398.17996118490203</c:v>
                </c:pt>
                <c:pt idx="27">
                  <c:v>398.17996118490203</c:v>
                </c:pt>
                <c:pt idx="28">
                  <c:v>403.15337851398903</c:v>
                </c:pt>
                <c:pt idx="29">
                  <c:v>403.15337851398903</c:v>
                </c:pt>
                <c:pt idx="30">
                  <c:v>405.26054500512402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5-A343-8152-7ED870E75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015552"/>
        <c:axId val="757683904"/>
      </c:scatterChart>
      <c:valAx>
        <c:axId val="95101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57683904"/>
        <c:crosses val="autoZero"/>
        <c:crossBetween val="midCat"/>
      </c:valAx>
      <c:valAx>
        <c:axId val="757683904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5101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755650</xdr:colOff>
      <xdr:row>37</xdr:row>
      <xdr:rowOff>152400</xdr:rowOff>
    </xdr:from>
    <xdr:to>
      <xdr:col>18</xdr:col>
      <xdr:colOff>374650</xdr:colOff>
      <xdr:row>51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506D3-322D-2BC2-5CF6-0A44F8381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pacity_sweep_fee_0.01" connectionId="1" xr16:uid="{E018494D-D9AD-A747-B4D6-8D0E486B6E6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3876-0872-B448-B970-225E01EDEA3D}">
  <dimension ref="A1:V33"/>
  <sheetViews>
    <sheetView topLeftCell="F1" workbookViewId="0">
      <selection activeCell="Q12" sqref="Q12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  <c r="R1" t="s">
        <v>16</v>
      </c>
      <c r="S1" t="s">
        <v>23</v>
      </c>
      <c r="T1" t="s">
        <v>24</v>
      </c>
    </row>
    <row r="2" spans="1:22" x14ac:dyDescent="0.2">
      <c r="A2" t="s">
        <v>17</v>
      </c>
      <c r="B2">
        <v>0</v>
      </c>
      <c r="C2">
        <v>-32.2576344165929</v>
      </c>
      <c r="D2">
        <v>0.75862033397424899</v>
      </c>
      <c r="E2">
        <v>2717.5789473684199</v>
      </c>
      <c r="F2">
        <v>2454.04</v>
      </c>
      <c r="G2">
        <v>545.34222222222195</v>
      </c>
      <c r="H2">
        <v>2.4043533034714399</v>
      </c>
      <c r="I2">
        <v>1.9533574144793899</v>
      </c>
      <c r="J2">
        <v>1716</v>
      </c>
      <c r="K2">
        <v>1666</v>
      </c>
      <c r="L2">
        <v>4513</v>
      </c>
      <c r="M2">
        <v>0.5</v>
      </c>
      <c r="N2">
        <v>138.70578286</v>
      </c>
      <c r="O2">
        <v>-170.963417276592</v>
      </c>
      <c r="P2">
        <v>170.963417276592</v>
      </c>
      <c r="R2">
        <v>5</v>
      </c>
      <c r="S2" s="2">
        <f>'capacity &amp; battery prices'!B2</f>
        <v>7500</v>
      </c>
      <c r="T2">
        <f>S2/P2</f>
        <v>43.869034203183809</v>
      </c>
    </row>
    <row r="3" spans="1:22" x14ac:dyDescent="0.2">
      <c r="A3" t="s">
        <v>18</v>
      </c>
      <c r="B3">
        <v>0</v>
      </c>
      <c r="C3">
        <v>-32.259181338199603</v>
      </c>
      <c r="D3">
        <v>1.54129804199328</v>
      </c>
      <c r="E3">
        <v>2729.05817174515</v>
      </c>
      <c r="F3">
        <v>2464.4</v>
      </c>
      <c r="G3">
        <v>547.64444444444405</v>
      </c>
      <c r="H3">
        <v>2.4043393057110798</v>
      </c>
      <c r="I3">
        <v>1.95244210411379</v>
      </c>
      <c r="J3">
        <v>1721</v>
      </c>
      <c r="K3">
        <v>1672</v>
      </c>
      <c r="L3">
        <v>4502</v>
      </c>
      <c r="M3">
        <v>0.5</v>
      </c>
      <c r="N3">
        <v>138.70578286</v>
      </c>
      <c r="O3">
        <v>-170.964964198199</v>
      </c>
      <c r="P3">
        <v>170.964964198199</v>
      </c>
      <c r="R3">
        <v>5</v>
      </c>
      <c r="S3" s="2">
        <f>S2</f>
        <v>7500</v>
      </c>
      <c r="T3" s="2">
        <f>T2</f>
        <v>43.869034203183809</v>
      </c>
    </row>
    <row r="4" spans="1:22" x14ac:dyDescent="0.2">
      <c r="A4" t="s">
        <v>17</v>
      </c>
      <c r="B4">
        <v>0</v>
      </c>
      <c r="C4">
        <v>-94.732038710360399</v>
      </c>
      <c r="D4">
        <v>0.70158895902568397</v>
      </c>
      <c r="E4">
        <v>3938.0554016620499</v>
      </c>
      <c r="F4">
        <v>3555.52</v>
      </c>
      <c r="G4">
        <v>507.931428571428</v>
      </c>
      <c r="H4">
        <v>3.5164367034607702</v>
      </c>
      <c r="I4">
        <v>2.7881579306991902</v>
      </c>
      <c r="J4">
        <v>2175</v>
      </c>
      <c r="K4">
        <v>2065</v>
      </c>
      <c r="L4">
        <v>3655</v>
      </c>
      <c r="M4">
        <v>0.5</v>
      </c>
      <c r="N4">
        <v>138.70578286</v>
      </c>
      <c r="O4">
        <v>-233.43782157036</v>
      </c>
      <c r="P4">
        <v>233.43782157036</v>
      </c>
      <c r="Q4">
        <f>(P4-P2)/(R4-R2)</f>
        <v>24.9897617175072</v>
      </c>
      <c r="R4">
        <v>7.5</v>
      </c>
      <c r="S4" s="2">
        <f>'capacity &amp; battery prices'!B3</f>
        <v>9000</v>
      </c>
      <c r="T4">
        <f>S4/P4</f>
        <v>38.554163757424071</v>
      </c>
    </row>
    <row r="5" spans="1:22" x14ac:dyDescent="0.2">
      <c r="A5" t="s">
        <v>18</v>
      </c>
      <c r="B5">
        <v>0</v>
      </c>
      <c r="C5">
        <v>-94.7318306472025</v>
      </c>
      <c r="D5">
        <v>1.46375833300407</v>
      </c>
      <c r="E5">
        <v>3938.6869806094101</v>
      </c>
      <c r="F5">
        <v>3556.09</v>
      </c>
      <c r="G5">
        <v>508.012857142857</v>
      </c>
      <c r="H5">
        <v>3.5154115341545298</v>
      </c>
      <c r="I5">
        <v>2.7876006311599899</v>
      </c>
      <c r="J5">
        <v>2175</v>
      </c>
      <c r="K5">
        <v>2066</v>
      </c>
      <c r="L5">
        <v>3654</v>
      </c>
      <c r="M5">
        <v>0.5</v>
      </c>
      <c r="N5">
        <v>138.70578286</v>
      </c>
      <c r="O5">
        <v>-233.437613507202</v>
      </c>
      <c r="P5">
        <v>233.437613507202</v>
      </c>
      <c r="Q5">
        <f>Q4</f>
        <v>24.9897617175072</v>
      </c>
      <c r="R5">
        <v>7.5</v>
      </c>
      <c r="S5" s="2">
        <f>S4</f>
        <v>9000</v>
      </c>
      <c r="T5" s="2">
        <f>T4</f>
        <v>38.554163757424071</v>
      </c>
      <c r="V5" s="5"/>
    </row>
    <row r="6" spans="1:22" x14ac:dyDescent="0.2">
      <c r="A6" t="s">
        <v>17</v>
      </c>
      <c r="B6">
        <v>0</v>
      </c>
      <c r="C6">
        <v>-139.720713739307</v>
      </c>
      <c r="D6">
        <v>0.70111475000157897</v>
      </c>
      <c r="E6">
        <v>4836.60941828254</v>
      </c>
      <c r="F6">
        <v>4366.4650000000001</v>
      </c>
      <c r="G6">
        <v>459.62789473684199</v>
      </c>
      <c r="H6">
        <v>4.6706753586092802</v>
      </c>
      <c r="I6">
        <v>3.5064452041805101</v>
      </c>
      <c r="J6">
        <v>2505</v>
      </c>
      <c r="K6">
        <v>2360</v>
      </c>
      <c r="L6">
        <v>3030</v>
      </c>
      <c r="M6">
        <v>0.5</v>
      </c>
      <c r="N6">
        <v>138.70578286</v>
      </c>
      <c r="O6">
        <v>-278.42649659930697</v>
      </c>
      <c r="P6">
        <v>278.42649659930697</v>
      </c>
      <c r="Q6">
        <f>(P6-P4)/(R6-R4)</f>
        <v>17.995470011578789</v>
      </c>
      <c r="R6">
        <v>10</v>
      </c>
      <c r="S6" s="2">
        <f>'capacity &amp; battery prices'!B4</f>
        <v>10500</v>
      </c>
      <c r="T6">
        <f>S6/P6</f>
        <v>37.711928024978555</v>
      </c>
    </row>
    <row r="7" spans="1:22" x14ac:dyDescent="0.2">
      <c r="A7" t="s">
        <v>18</v>
      </c>
      <c r="B7">
        <v>0</v>
      </c>
      <c r="C7">
        <v>-139.72071568930701</v>
      </c>
      <c r="D7">
        <v>1.43818687496241</v>
      </c>
      <c r="E7">
        <v>4838.60941828254</v>
      </c>
      <c r="F7">
        <v>4368.2700000000004</v>
      </c>
      <c r="G7">
        <v>459.81789473684199</v>
      </c>
      <c r="H7">
        <v>4.6678398122967</v>
      </c>
      <c r="I7">
        <v>3.5054198767448601</v>
      </c>
      <c r="J7">
        <v>2506</v>
      </c>
      <c r="K7">
        <v>2361</v>
      </c>
      <c r="L7">
        <v>3028</v>
      </c>
      <c r="M7">
        <v>0.5</v>
      </c>
      <c r="N7">
        <v>138.70578286</v>
      </c>
      <c r="O7">
        <v>-278.42649854930698</v>
      </c>
      <c r="P7">
        <v>278.42649854930698</v>
      </c>
      <c r="Q7">
        <f>Q6</f>
        <v>17.995470011578789</v>
      </c>
      <c r="R7">
        <v>10</v>
      </c>
      <c r="S7" s="2">
        <f>S6</f>
        <v>10500</v>
      </c>
      <c r="T7" s="2">
        <f>T6</f>
        <v>37.711928024978555</v>
      </c>
    </row>
    <row r="8" spans="1:22" x14ac:dyDescent="0.2">
      <c r="A8" t="s">
        <v>17</v>
      </c>
      <c r="B8">
        <v>0</v>
      </c>
      <c r="C8">
        <v>-181.45994948459801</v>
      </c>
      <c r="D8">
        <v>0.59380099998088498</v>
      </c>
      <c r="E8">
        <v>5684.43767313019</v>
      </c>
      <c r="F8">
        <v>5131.63</v>
      </c>
      <c r="G8">
        <v>394.74076923076899</v>
      </c>
      <c r="H8">
        <v>6.3514191062763299</v>
      </c>
      <c r="I8">
        <v>4.3097179783585702</v>
      </c>
      <c r="J8">
        <v>2982</v>
      </c>
      <c r="K8">
        <v>2696</v>
      </c>
      <c r="L8">
        <v>2217</v>
      </c>
      <c r="M8">
        <v>0.5</v>
      </c>
      <c r="N8">
        <v>138.70578286</v>
      </c>
      <c r="O8">
        <v>-320.16573234459798</v>
      </c>
      <c r="P8">
        <v>320.16573234459798</v>
      </c>
      <c r="Q8">
        <f>(P8-P6)/(R8-R6)</f>
        <v>11.925495927226004</v>
      </c>
      <c r="R8">
        <v>13.5</v>
      </c>
      <c r="S8" s="2">
        <f>'capacity &amp; battery prices'!B5</f>
        <v>12600</v>
      </c>
      <c r="T8">
        <f>S8/P8</f>
        <v>39.35461770917594</v>
      </c>
    </row>
    <row r="9" spans="1:22" x14ac:dyDescent="0.2">
      <c r="A9" t="s">
        <v>18</v>
      </c>
      <c r="B9">
        <v>0</v>
      </c>
      <c r="C9">
        <v>-181.45994979249201</v>
      </c>
      <c r="D9">
        <v>1.47408850002102</v>
      </c>
      <c r="E9">
        <v>5684.7534626038696</v>
      </c>
      <c r="F9">
        <v>5131.915</v>
      </c>
      <c r="G9">
        <v>394.76269230769202</v>
      </c>
      <c r="H9">
        <v>6.3547399082813403</v>
      </c>
      <c r="I9">
        <v>4.3095147285503996</v>
      </c>
      <c r="J9">
        <v>2982</v>
      </c>
      <c r="K9">
        <v>2696</v>
      </c>
      <c r="L9">
        <v>2217</v>
      </c>
      <c r="M9">
        <v>0.5</v>
      </c>
      <c r="N9">
        <v>138.70578286</v>
      </c>
      <c r="O9">
        <v>-320.16573265249201</v>
      </c>
      <c r="P9">
        <v>320.16573265249201</v>
      </c>
      <c r="Q9">
        <f>Q8</f>
        <v>11.925495927226004</v>
      </c>
      <c r="R9">
        <v>13.5</v>
      </c>
      <c r="S9" s="2">
        <f>S8</f>
        <v>12600</v>
      </c>
      <c r="T9" s="2">
        <f>T8</f>
        <v>39.35461770917594</v>
      </c>
    </row>
    <row r="10" spans="1:22" x14ac:dyDescent="0.2">
      <c r="A10" t="s">
        <v>17</v>
      </c>
      <c r="B10">
        <v>0</v>
      </c>
      <c r="C10">
        <v>-192.65185171312899</v>
      </c>
      <c r="D10">
        <v>0.57759274996351395</v>
      </c>
      <c r="E10">
        <v>5909.69529085872</v>
      </c>
      <c r="F10">
        <v>5334.9250000000002</v>
      </c>
      <c r="G10">
        <v>367.92586206896499</v>
      </c>
      <c r="H10">
        <v>7.0900029328640697</v>
      </c>
      <c r="I10">
        <v>4.6026295955587102</v>
      </c>
      <c r="J10">
        <v>3092</v>
      </c>
      <c r="K10">
        <v>2749</v>
      </c>
      <c r="L10">
        <v>2054</v>
      </c>
      <c r="M10">
        <v>0.5</v>
      </c>
      <c r="N10">
        <v>138.70578286</v>
      </c>
      <c r="O10">
        <v>-331.35763457312902</v>
      </c>
      <c r="P10">
        <v>331.35763457312902</v>
      </c>
      <c r="Q10">
        <f>(P10-P8)/(R10-R8)</f>
        <v>7.4612681523540232</v>
      </c>
      <c r="R10">
        <v>15</v>
      </c>
      <c r="S10" s="2">
        <f>'capacity &amp; battery prices'!B6</f>
        <v>13500</v>
      </c>
      <c r="T10">
        <f>S10/P10</f>
        <v>40.741478666671902</v>
      </c>
    </row>
    <row r="11" spans="1:22" x14ac:dyDescent="0.2">
      <c r="A11" t="s">
        <v>18</v>
      </c>
      <c r="B11">
        <v>0</v>
      </c>
      <c r="C11">
        <v>-192.65185171312899</v>
      </c>
      <c r="D11">
        <v>1.4878620409872301</v>
      </c>
      <c r="E11">
        <v>5909.69529085872</v>
      </c>
      <c r="F11">
        <v>5334.9250000000002</v>
      </c>
      <c r="G11">
        <v>367.92586206896499</v>
      </c>
      <c r="H11">
        <v>7.09099144136938</v>
      </c>
      <c r="I11">
        <v>4.6026082789685496</v>
      </c>
      <c r="J11">
        <v>3092</v>
      </c>
      <c r="K11">
        <v>2749</v>
      </c>
      <c r="L11">
        <v>2054</v>
      </c>
      <c r="M11">
        <v>0.5</v>
      </c>
      <c r="N11">
        <v>138.70578286</v>
      </c>
      <c r="O11">
        <v>-331.35763457312902</v>
      </c>
      <c r="P11">
        <v>331.35763457312902</v>
      </c>
      <c r="Q11">
        <f>Q10</f>
        <v>7.4612681523540232</v>
      </c>
      <c r="R11">
        <v>15</v>
      </c>
      <c r="S11" s="2">
        <f>S10</f>
        <v>13500</v>
      </c>
      <c r="T11" s="2">
        <f>T10</f>
        <v>40.741478666671902</v>
      </c>
    </row>
    <row r="12" spans="1:22" x14ac:dyDescent="0.2">
      <c r="A12" t="s">
        <v>17</v>
      </c>
      <c r="B12">
        <v>0</v>
      </c>
      <c r="C12">
        <v>-214.09350414706299</v>
      </c>
      <c r="D12">
        <v>0.56235087499953795</v>
      </c>
      <c r="E12">
        <v>6279.4127423822702</v>
      </c>
      <c r="F12">
        <v>5668.5950000000003</v>
      </c>
      <c r="G12">
        <v>290.69717948717903</v>
      </c>
      <c r="H12">
        <v>9.6472331093691608</v>
      </c>
      <c r="I12">
        <v>5.5956303555134097</v>
      </c>
      <c r="J12">
        <v>3227</v>
      </c>
      <c r="K12">
        <v>2932</v>
      </c>
      <c r="L12">
        <v>1736</v>
      </c>
      <c r="M12">
        <v>0.5</v>
      </c>
      <c r="N12">
        <v>138.70578286</v>
      </c>
      <c r="O12">
        <v>-352.79928700706301</v>
      </c>
      <c r="P12">
        <v>352.79928700706301</v>
      </c>
      <c r="Q12">
        <f>(P12-P10)/(R12-R10)</f>
        <v>4.2883304867867995</v>
      </c>
      <c r="R12">
        <v>20</v>
      </c>
      <c r="S12" s="2">
        <f>'capacity &amp; battery prices'!B7</f>
        <v>16500</v>
      </c>
      <c r="T12">
        <f>S12/P12</f>
        <v>46.768802000639162</v>
      </c>
    </row>
    <row r="13" spans="1:22" x14ac:dyDescent="0.2">
      <c r="A13" t="s">
        <v>18</v>
      </c>
      <c r="B13">
        <v>0</v>
      </c>
      <c r="C13">
        <v>-214.09350414706299</v>
      </c>
      <c r="D13">
        <v>1.47016320901457</v>
      </c>
      <c r="E13">
        <v>6279.4127423822702</v>
      </c>
      <c r="F13">
        <v>5668.5950000000003</v>
      </c>
      <c r="G13">
        <v>290.69717948717903</v>
      </c>
      <c r="H13">
        <v>9.6478170159441099</v>
      </c>
      <c r="I13">
        <v>5.5954406942917503</v>
      </c>
      <c r="J13">
        <v>3227</v>
      </c>
      <c r="K13">
        <v>2932</v>
      </c>
      <c r="L13">
        <v>1736</v>
      </c>
      <c r="M13">
        <v>0.5</v>
      </c>
      <c r="N13">
        <v>138.70578286</v>
      </c>
      <c r="O13">
        <v>-352.79928700706301</v>
      </c>
      <c r="P13">
        <v>352.79928700706301</v>
      </c>
      <c r="Q13">
        <f>Q12</f>
        <v>4.2883304867867995</v>
      </c>
      <c r="R13">
        <v>20</v>
      </c>
      <c r="S13" s="2">
        <f>S12</f>
        <v>16500</v>
      </c>
      <c r="T13" s="2">
        <f>T12</f>
        <v>46.768802000639162</v>
      </c>
    </row>
    <row r="14" spans="1:22" x14ac:dyDescent="0.2">
      <c r="A14" t="s">
        <v>17</v>
      </c>
      <c r="B14">
        <v>0</v>
      </c>
      <c r="C14">
        <v>-221.79186518432101</v>
      </c>
      <c r="D14">
        <v>0.55855991702992402</v>
      </c>
      <c r="E14">
        <v>6375.4626038781098</v>
      </c>
      <c r="F14">
        <v>5755.28</v>
      </c>
      <c r="G14">
        <v>250.22956521739101</v>
      </c>
      <c r="H14">
        <v>11.447681037700599</v>
      </c>
      <c r="I14">
        <v>6.4176380683889898</v>
      </c>
      <c r="J14">
        <v>3268</v>
      </c>
      <c r="K14">
        <v>2944</v>
      </c>
      <c r="L14">
        <v>1683</v>
      </c>
      <c r="M14">
        <v>0.5</v>
      </c>
      <c r="N14">
        <v>138.70578286</v>
      </c>
      <c r="O14">
        <v>-360.49764804432101</v>
      </c>
      <c r="P14">
        <v>360.49764804432101</v>
      </c>
      <c r="Q14">
        <f>(P14-P12)/(R14-R12)</f>
        <v>2.1995317249308561</v>
      </c>
      <c r="R14">
        <v>23.5</v>
      </c>
      <c r="S14" s="2">
        <f>'capacity &amp; battery prices'!B8</f>
        <v>18600</v>
      </c>
      <c r="T14">
        <f>S14/P14</f>
        <v>51.595343550516709</v>
      </c>
    </row>
    <row r="15" spans="1:22" x14ac:dyDescent="0.2">
      <c r="A15" t="s">
        <v>18</v>
      </c>
      <c r="B15">
        <v>0</v>
      </c>
      <c r="C15">
        <v>-221.79161521202201</v>
      </c>
      <c r="D15">
        <v>1.45156304200645</v>
      </c>
      <c r="E15">
        <v>6375.4626038781098</v>
      </c>
      <c r="F15">
        <v>5755.28</v>
      </c>
      <c r="G15">
        <v>250.22956521739101</v>
      </c>
      <c r="H15">
        <v>11.4516270730016</v>
      </c>
      <c r="I15">
        <v>6.4145877163031297</v>
      </c>
      <c r="J15">
        <v>3268</v>
      </c>
      <c r="K15">
        <v>2944</v>
      </c>
      <c r="L15">
        <v>1683</v>
      </c>
      <c r="M15">
        <v>0.5</v>
      </c>
      <c r="N15">
        <v>138.70578286</v>
      </c>
      <c r="O15">
        <v>-360.49739807202201</v>
      </c>
      <c r="P15">
        <v>360.49739807202201</v>
      </c>
      <c r="Q15">
        <f>Q14</f>
        <v>2.1995317249308561</v>
      </c>
      <c r="R15">
        <v>23.5</v>
      </c>
      <c r="S15" s="2">
        <f>S14</f>
        <v>18600</v>
      </c>
      <c r="T15" s="2">
        <f>T14</f>
        <v>51.595343550516709</v>
      </c>
    </row>
    <row r="16" spans="1:22" x14ac:dyDescent="0.2">
      <c r="A16" t="s">
        <v>17</v>
      </c>
      <c r="B16">
        <v>0</v>
      </c>
      <c r="C16">
        <v>-227.64795574955599</v>
      </c>
      <c r="D16">
        <v>0.56183233298361301</v>
      </c>
      <c r="E16">
        <v>6451.9889196675804</v>
      </c>
      <c r="F16">
        <v>5824.3450000000003</v>
      </c>
      <c r="G16">
        <v>219.78660377358401</v>
      </c>
      <c r="H16">
        <v>13.286265530848301</v>
      </c>
      <c r="I16">
        <v>7.2843191397179199</v>
      </c>
      <c r="J16">
        <v>3284</v>
      </c>
      <c r="K16">
        <v>2974</v>
      </c>
      <c r="L16">
        <v>1637</v>
      </c>
      <c r="M16">
        <v>0.5</v>
      </c>
      <c r="N16">
        <v>138.70578286</v>
      </c>
      <c r="O16">
        <v>-366.35373860955599</v>
      </c>
      <c r="P16">
        <v>366.35373860955599</v>
      </c>
      <c r="Q16">
        <f>(P16-P14)/(R16-R14)</f>
        <v>1.6731687329242797</v>
      </c>
      <c r="R16">
        <v>27</v>
      </c>
      <c r="S16" s="2">
        <f>'capacity &amp; battery prices'!B9</f>
        <v>20700</v>
      </c>
      <c r="T16">
        <f>S16/P16</f>
        <v>56.502767184972463</v>
      </c>
    </row>
    <row r="17" spans="1:20" x14ac:dyDescent="0.2">
      <c r="A17" t="s">
        <v>18</v>
      </c>
      <c r="B17">
        <v>0</v>
      </c>
      <c r="C17">
        <v>-227.64802377130101</v>
      </c>
      <c r="D17">
        <v>1.4655461660004201</v>
      </c>
      <c r="E17">
        <v>6452.1495844875299</v>
      </c>
      <c r="F17">
        <v>5824.49</v>
      </c>
      <c r="G17">
        <v>219.79207547169801</v>
      </c>
      <c r="H17">
        <v>13.286232869407501</v>
      </c>
      <c r="I17">
        <v>7.2843581875752896</v>
      </c>
      <c r="J17">
        <v>3285</v>
      </c>
      <c r="K17">
        <v>2974</v>
      </c>
      <c r="L17">
        <v>1636</v>
      </c>
      <c r="M17">
        <v>0.5</v>
      </c>
      <c r="N17">
        <v>138.70578286</v>
      </c>
      <c r="O17">
        <v>-366.35380663130098</v>
      </c>
      <c r="P17">
        <v>366.35380663130098</v>
      </c>
      <c r="Q17">
        <f>Q16</f>
        <v>1.6731687329242797</v>
      </c>
      <c r="R17">
        <v>27</v>
      </c>
      <c r="S17" s="2">
        <f>S16</f>
        <v>20700</v>
      </c>
      <c r="T17" s="2">
        <f>T16</f>
        <v>56.502767184972463</v>
      </c>
    </row>
    <row r="18" spans="1:20" x14ac:dyDescent="0.2">
      <c r="A18" t="s">
        <v>17</v>
      </c>
      <c r="B18">
        <v>0</v>
      </c>
      <c r="C18">
        <v>-233.01351665606501</v>
      </c>
      <c r="D18">
        <v>0.56283216702286099</v>
      </c>
      <c r="E18">
        <v>6545.1080332409902</v>
      </c>
      <c r="F18">
        <v>5908.3850000000002</v>
      </c>
      <c r="G18">
        <v>193.717540983606</v>
      </c>
      <c r="H18">
        <v>15.336946088625799</v>
      </c>
      <c r="I18">
        <v>8.3568755010513502</v>
      </c>
      <c r="J18">
        <v>3326</v>
      </c>
      <c r="K18">
        <v>3003</v>
      </c>
      <c r="L18">
        <v>1566</v>
      </c>
      <c r="M18">
        <v>0.5</v>
      </c>
      <c r="N18">
        <v>138.70578286</v>
      </c>
      <c r="O18">
        <v>-371.71929951606597</v>
      </c>
      <c r="P18">
        <v>371.71929951606597</v>
      </c>
      <c r="Q18">
        <f>(P18-P16)/(R18-R16)</f>
        <v>1.341390226627496</v>
      </c>
      <c r="R18">
        <v>31</v>
      </c>
      <c r="S18" s="2">
        <f>'capacity &amp; battery prices'!B10</f>
        <v>23100</v>
      </c>
      <c r="T18">
        <f>S18/P18</f>
        <v>62.143666013772851</v>
      </c>
    </row>
    <row r="19" spans="1:20" x14ac:dyDescent="0.2">
      <c r="A19" t="s">
        <v>18</v>
      </c>
      <c r="B19">
        <v>0</v>
      </c>
      <c r="C19">
        <v>-233.01359859512399</v>
      </c>
      <c r="D19">
        <v>1.44511979201342</v>
      </c>
      <c r="E19">
        <v>6545.1080332409902</v>
      </c>
      <c r="F19">
        <v>5908.3850000000002</v>
      </c>
      <c r="G19">
        <v>193.717540983606</v>
      </c>
      <c r="H19">
        <v>15.348510904921801</v>
      </c>
      <c r="I19">
        <v>8.3556140722012398</v>
      </c>
      <c r="J19">
        <v>3326</v>
      </c>
      <c r="K19">
        <v>3003</v>
      </c>
      <c r="L19">
        <v>1566</v>
      </c>
      <c r="M19">
        <v>0.5</v>
      </c>
      <c r="N19">
        <v>138.70578286</v>
      </c>
      <c r="O19">
        <v>-371.71938145512399</v>
      </c>
      <c r="P19">
        <v>371.71938145512399</v>
      </c>
      <c r="Q19">
        <f>Q18</f>
        <v>1.341390226627496</v>
      </c>
      <c r="R19">
        <v>31</v>
      </c>
      <c r="S19" s="2">
        <f>S18</f>
        <v>23100</v>
      </c>
      <c r="T19" s="2">
        <f>T18</f>
        <v>62.143666013772851</v>
      </c>
    </row>
    <row r="20" spans="1:20" x14ac:dyDescent="0.2">
      <c r="A20" t="s">
        <v>17</v>
      </c>
      <c r="B20">
        <v>0</v>
      </c>
      <c r="C20">
        <v>-237.24836178875199</v>
      </c>
      <c r="D20">
        <v>0.56330204202095002</v>
      </c>
      <c r="E20">
        <v>6599.5955678670298</v>
      </c>
      <c r="F20">
        <v>5957.5599999999904</v>
      </c>
      <c r="G20">
        <v>172.68289855072399</v>
      </c>
      <c r="H20">
        <v>17.477876873033601</v>
      </c>
      <c r="I20">
        <v>9.4353976476836792</v>
      </c>
      <c r="J20">
        <v>3338</v>
      </c>
      <c r="K20">
        <v>3028</v>
      </c>
      <c r="L20">
        <v>1529</v>
      </c>
      <c r="M20">
        <v>0.5</v>
      </c>
      <c r="N20">
        <v>138.70578286</v>
      </c>
      <c r="O20">
        <v>-375.95414464875199</v>
      </c>
      <c r="P20">
        <v>375.95414464875199</v>
      </c>
      <c r="Q20">
        <f>(P20-P18)/(R20-R18)</f>
        <v>1.0587112831715046</v>
      </c>
      <c r="R20">
        <v>35</v>
      </c>
      <c r="S20" s="2">
        <f>'capacity &amp; battery prices'!B11</f>
        <v>25500</v>
      </c>
      <c r="T20">
        <f>S20/P20</f>
        <v>67.827420878214411</v>
      </c>
    </row>
    <row r="21" spans="1:20" x14ac:dyDescent="0.2">
      <c r="A21" t="s">
        <v>18</v>
      </c>
      <c r="B21">
        <v>0</v>
      </c>
      <c r="C21">
        <v>-237.24836178875199</v>
      </c>
      <c r="D21">
        <v>1.4470933749689701</v>
      </c>
      <c r="E21">
        <v>6599.5955678670298</v>
      </c>
      <c r="F21">
        <v>5957.5599999999904</v>
      </c>
      <c r="G21">
        <v>172.68289855072399</v>
      </c>
      <c r="H21">
        <v>17.476972351090399</v>
      </c>
      <c r="I21">
        <v>9.4345734181415608</v>
      </c>
      <c r="J21">
        <v>3338</v>
      </c>
      <c r="K21">
        <v>3028</v>
      </c>
      <c r="L21">
        <v>1529</v>
      </c>
      <c r="M21">
        <v>0.5</v>
      </c>
      <c r="N21">
        <v>138.70578286</v>
      </c>
      <c r="O21">
        <v>-375.95414464875199</v>
      </c>
      <c r="P21">
        <v>375.95414464875199</v>
      </c>
      <c r="Q21" s="4">
        <f>Q20</f>
        <v>1.0587112831715046</v>
      </c>
      <c r="R21">
        <v>35</v>
      </c>
      <c r="S21" s="2">
        <f>S20</f>
        <v>25500</v>
      </c>
      <c r="T21" s="2">
        <f>T20</f>
        <v>67.827420878214411</v>
      </c>
    </row>
    <row r="22" spans="1:20" x14ac:dyDescent="0.2">
      <c r="A22" t="s">
        <v>17</v>
      </c>
      <c r="B22">
        <v>0</v>
      </c>
      <c r="C22">
        <v>-239.84091940343399</v>
      </c>
      <c r="D22">
        <v>0.57162379100918703</v>
      </c>
      <c r="E22">
        <v>6622.7867036011003</v>
      </c>
      <c r="F22">
        <v>5978.4899999999898</v>
      </c>
      <c r="G22">
        <v>159.42639999999901</v>
      </c>
      <c r="H22">
        <v>19.102744894150199</v>
      </c>
      <c r="I22">
        <v>10.290421892175299</v>
      </c>
      <c r="J22">
        <v>3351</v>
      </c>
      <c r="K22">
        <v>3031</v>
      </c>
      <c r="L22">
        <v>1513</v>
      </c>
      <c r="M22">
        <v>0.5</v>
      </c>
      <c r="N22">
        <v>138.70578286</v>
      </c>
      <c r="O22">
        <v>-378.54670226343399</v>
      </c>
      <c r="P22">
        <v>378.54670226343399</v>
      </c>
      <c r="Q22">
        <f>(P22-P20)/(R22-R20)</f>
        <v>0.86418587156066451</v>
      </c>
      <c r="R22">
        <v>38</v>
      </c>
      <c r="S22" s="2">
        <f>'capacity &amp; battery prices'!B12</f>
        <v>27300</v>
      </c>
      <c r="T22">
        <f>S22/P22</f>
        <v>72.117917912811961</v>
      </c>
    </row>
    <row r="23" spans="1:20" x14ac:dyDescent="0.2">
      <c r="A23" t="s">
        <v>18</v>
      </c>
      <c r="B23">
        <v>0</v>
      </c>
      <c r="C23">
        <v>-239.84091940343399</v>
      </c>
      <c r="D23">
        <v>1.4615546659915699</v>
      </c>
      <c r="E23">
        <v>6622.7867036011003</v>
      </c>
      <c r="F23">
        <v>5978.4899999999898</v>
      </c>
      <c r="G23">
        <v>159.42639999999901</v>
      </c>
      <c r="H23">
        <v>19.099096144616801</v>
      </c>
      <c r="I23">
        <v>10.2870517823961</v>
      </c>
      <c r="J23">
        <v>3351</v>
      </c>
      <c r="K23">
        <v>3031</v>
      </c>
      <c r="L23">
        <v>1513</v>
      </c>
      <c r="M23">
        <v>0.5</v>
      </c>
      <c r="N23">
        <v>138.70578286</v>
      </c>
      <c r="O23">
        <v>-378.54670226343399</v>
      </c>
      <c r="P23">
        <v>378.54670226343399</v>
      </c>
      <c r="Q23" s="4">
        <f>Q22</f>
        <v>0.86418587156066451</v>
      </c>
      <c r="R23">
        <v>38</v>
      </c>
      <c r="S23" s="2">
        <f>S22</f>
        <v>27300</v>
      </c>
      <c r="T23" s="2">
        <f>T22</f>
        <v>72.117917912811961</v>
      </c>
    </row>
    <row r="24" spans="1:20" x14ac:dyDescent="0.2">
      <c r="A24" t="s">
        <v>17</v>
      </c>
      <c r="B24">
        <v>0</v>
      </c>
      <c r="C24">
        <v>-241.746544935982</v>
      </c>
      <c r="D24">
        <v>0.57383433298673403</v>
      </c>
      <c r="E24">
        <v>6634.5096952908498</v>
      </c>
      <c r="F24">
        <v>5989.0699999999897</v>
      </c>
      <c r="G24">
        <v>149.72674999999899</v>
      </c>
      <c r="H24">
        <v>20.313901775715799</v>
      </c>
      <c r="I24">
        <v>11.0262302182895</v>
      </c>
      <c r="J24">
        <v>3356</v>
      </c>
      <c r="K24">
        <v>3035</v>
      </c>
      <c r="L24">
        <v>1504</v>
      </c>
      <c r="M24">
        <v>0.5</v>
      </c>
      <c r="N24">
        <v>138.70578286</v>
      </c>
      <c r="O24">
        <v>-380.452327795982</v>
      </c>
      <c r="P24">
        <v>380.452327795982</v>
      </c>
      <c r="Q24">
        <f>(P24-P22)/(R24-R22)</f>
        <v>0.76225021301920604</v>
      </c>
      <c r="R24">
        <v>40.5</v>
      </c>
      <c r="S24" s="2">
        <f>'capacity &amp; battery prices'!B13</f>
        <v>28800</v>
      </c>
      <c r="T24">
        <f>S24/P24</f>
        <v>75.699365980601996</v>
      </c>
    </row>
    <row r="25" spans="1:20" x14ac:dyDescent="0.2">
      <c r="A25" t="s">
        <v>18</v>
      </c>
      <c r="B25">
        <v>0</v>
      </c>
      <c r="C25">
        <v>-241.746544935982</v>
      </c>
      <c r="D25">
        <v>1.4467097090091501</v>
      </c>
      <c r="E25">
        <v>6634.5096952908498</v>
      </c>
      <c r="F25">
        <v>5989.0699999999897</v>
      </c>
      <c r="G25">
        <v>149.72674999999899</v>
      </c>
      <c r="H25">
        <v>20.329833893243698</v>
      </c>
      <c r="I25">
        <v>11.0343703608709</v>
      </c>
      <c r="J25">
        <v>3356</v>
      </c>
      <c r="K25">
        <v>3035</v>
      </c>
      <c r="L25">
        <v>1504</v>
      </c>
      <c r="M25">
        <v>0.5</v>
      </c>
      <c r="N25">
        <v>138.70578286</v>
      </c>
      <c r="O25">
        <v>-380.452327795982</v>
      </c>
      <c r="P25">
        <v>380.452327795982</v>
      </c>
      <c r="Q25" s="4">
        <f>Q24</f>
        <v>0.76225021301920604</v>
      </c>
      <c r="R25">
        <v>40.5</v>
      </c>
      <c r="S25" s="2">
        <f>S24</f>
        <v>28800</v>
      </c>
      <c r="T25" s="2">
        <f>T24</f>
        <v>75.699365980601996</v>
      </c>
    </row>
    <row r="26" spans="1:20" x14ac:dyDescent="0.2">
      <c r="A26" t="s">
        <v>17</v>
      </c>
      <c r="B26">
        <v>0</v>
      </c>
      <c r="C26">
        <v>-249.841684926564</v>
      </c>
      <c r="D26">
        <v>0.57513925002422095</v>
      </c>
      <c r="E26">
        <v>6706.2326869806002</v>
      </c>
      <c r="F26">
        <v>6053.7999999999902</v>
      </c>
      <c r="G26">
        <v>113.15514018691501</v>
      </c>
      <c r="H26">
        <v>27.0906568282408</v>
      </c>
      <c r="I26">
        <v>15.0178504432349</v>
      </c>
      <c r="J26">
        <v>3382</v>
      </c>
      <c r="K26">
        <v>3054</v>
      </c>
      <c r="L26">
        <v>1459</v>
      </c>
      <c r="M26">
        <v>0.5</v>
      </c>
      <c r="N26">
        <v>138.70578286</v>
      </c>
      <c r="O26">
        <v>-388.54746778656403</v>
      </c>
      <c r="P26">
        <v>388.54746778656403</v>
      </c>
      <c r="Q26">
        <f>(P26-P24)/(R26-R24)</f>
        <v>0.59963999930237233</v>
      </c>
      <c r="R26">
        <v>54</v>
      </c>
      <c r="S26" s="2">
        <f>'capacity &amp; battery prices'!B14</f>
        <v>36900</v>
      </c>
      <c r="T26">
        <f>S26/P26</f>
        <v>94.969091447714234</v>
      </c>
    </row>
    <row r="27" spans="1:20" x14ac:dyDescent="0.2">
      <c r="A27" t="s">
        <v>18</v>
      </c>
      <c r="B27">
        <v>0</v>
      </c>
      <c r="C27">
        <v>-249.841684926564</v>
      </c>
      <c r="D27">
        <v>1.44814191700425</v>
      </c>
      <c r="E27">
        <v>6706.2326869806002</v>
      </c>
      <c r="F27">
        <v>6053.7999999999902</v>
      </c>
      <c r="G27">
        <v>113.15514018691501</v>
      </c>
      <c r="H27">
        <v>27.073019650189298</v>
      </c>
      <c r="I27">
        <v>15.021637699854301</v>
      </c>
      <c r="J27">
        <v>3382</v>
      </c>
      <c r="K27">
        <v>3054</v>
      </c>
      <c r="L27">
        <v>1459</v>
      </c>
      <c r="M27">
        <v>0.5</v>
      </c>
      <c r="N27">
        <v>138.70578286</v>
      </c>
      <c r="O27">
        <v>-388.54746778656403</v>
      </c>
      <c r="P27">
        <v>388.54746778656403</v>
      </c>
      <c r="Q27" s="4">
        <f>Q26</f>
        <v>0.59963999930237233</v>
      </c>
      <c r="R27">
        <v>54</v>
      </c>
      <c r="S27" s="2">
        <f>S26</f>
        <v>36900</v>
      </c>
      <c r="T27" s="2">
        <f>T26</f>
        <v>94.969091447714234</v>
      </c>
    </row>
    <row r="28" spans="1:20" x14ac:dyDescent="0.2">
      <c r="A28" t="s">
        <v>17</v>
      </c>
      <c r="B28">
        <v>0</v>
      </c>
      <c r="C28">
        <v>-259.47417832490203</v>
      </c>
      <c r="D28">
        <v>0.54799904098035701</v>
      </c>
      <c r="E28">
        <v>6761.0083102492999</v>
      </c>
      <c r="F28">
        <v>6103.2349999999897</v>
      </c>
      <c r="G28">
        <v>75.816583850931593</v>
      </c>
      <c r="H28">
        <v>41.808250679891103</v>
      </c>
      <c r="I28">
        <v>23.3218470288578</v>
      </c>
      <c r="J28">
        <v>3403</v>
      </c>
      <c r="K28">
        <v>3067</v>
      </c>
      <c r="L28">
        <v>1425</v>
      </c>
      <c r="M28">
        <v>0.5</v>
      </c>
      <c r="N28">
        <v>138.70578286</v>
      </c>
      <c r="O28">
        <v>-398.17996118490203</v>
      </c>
      <c r="P28">
        <v>398.17996118490203</v>
      </c>
      <c r="Q28">
        <f>(P28-P26)/(R28-R26)</f>
        <v>0.35675901475325922</v>
      </c>
      <c r="R28">
        <v>81</v>
      </c>
      <c r="S28" s="2">
        <f>'capacity &amp; battery prices'!B15</f>
        <v>53100</v>
      </c>
      <c r="T28">
        <f>S28/P28</f>
        <v>133.3567863183905</v>
      </c>
    </row>
    <row r="29" spans="1:20" x14ac:dyDescent="0.2">
      <c r="A29" t="s">
        <v>18</v>
      </c>
      <c r="B29">
        <v>0</v>
      </c>
      <c r="C29">
        <v>-259.47417832490203</v>
      </c>
      <c r="D29">
        <v>1.4333298749988801</v>
      </c>
      <c r="E29">
        <v>6761.0083102492999</v>
      </c>
      <c r="F29">
        <v>6103.2349999999897</v>
      </c>
      <c r="G29">
        <v>75.816583850931593</v>
      </c>
      <c r="H29">
        <v>41.808250679891103</v>
      </c>
      <c r="I29">
        <v>23.3218470288578</v>
      </c>
      <c r="J29">
        <v>3403</v>
      </c>
      <c r="K29">
        <v>3067</v>
      </c>
      <c r="L29">
        <v>1425</v>
      </c>
      <c r="M29">
        <v>0.5</v>
      </c>
      <c r="N29">
        <v>138.70578286</v>
      </c>
      <c r="O29">
        <v>-398.17996118490203</v>
      </c>
      <c r="P29">
        <v>398.17996118490203</v>
      </c>
      <c r="Q29" s="4">
        <f>Q28</f>
        <v>0.35675901475325922</v>
      </c>
      <c r="R29">
        <v>81</v>
      </c>
      <c r="S29" s="2">
        <f>S28</f>
        <v>53100</v>
      </c>
      <c r="T29" s="2">
        <f>T28</f>
        <v>133.3567863183905</v>
      </c>
    </row>
    <row r="30" spans="1:20" x14ac:dyDescent="0.2">
      <c r="A30" t="s">
        <v>17</v>
      </c>
      <c r="B30">
        <v>0</v>
      </c>
      <c r="C30">
        <v>-264.44759565398903</v>
      </c>
      <c r="D30">
        <v>0.56157499999972005</v>
      </c>
      <c r="E30">
        <v>6775.52354570636</v>
      </c>
      <c r="F30">
        <v>6116.335</v>
      </c>
      <c r="G30">
        <v>56.896139534883702</v>
      </c>
      <c r="H30">
        <v>55.360502986188799</v>
      </c>
      <c r="I30">
        <v>30.741879104301901</v>
      </c>
      <c r="J30">
        <v>3407</v>
      </c>
      <c r="K30">
        <v>3070</v>
      </c>
      <c r="L30">
        <v>1418</v>
      </c>
      <c r="M30">
        <v>0.5</v>
      </c>
      <c r="N30">
        <v>138.70578286</v>
      </c>
      <c r="O30">
        <v>-403.15337851398903</v>
      </c>
      <c r="P30">
        <v>403.15337851398903</v>
      </c>
      <c r="Q30">
        <f>(P30-P28)/(R30-R28)</f>
        <v>0.184200641818037</v>
      </c>
      <c r="R30">
        <v>108</v>
      </c>
      <c r="S30" s="2">
        <f>'capacity &amp; battery prices'!B16</f>
        <v>69300</v>
      </c>
      <c r="T30">
        <f>S30/P30</f>
        <v>171.894875978561</v>
      </c>
    </row>
    <row r="31" spans="1:20" x14ac:dyDescent="0.2">
      <c r="A31" t="s">
        <v>18</v>
      </c>
      <c r="B31">
        <v>0</v>
      </c>
      <c r="C31">
        <v>-264.44759565398903</v>
      </c>
      <c r="D31">
        <v>1.43155566701898</v>
      </c>
      <c r="E31">
        <v>6775.52354570636</v>
      </c>
      <c r="F31">
        <v>6116.335</v>
      </c>
      <c r="G31">
        <v>56.896139534883702</v>
      </c>
      <c r="H31">
        <v>55.357146856502901</v>
      </c>
      <c r="I31">
        <v>30.751941363480501</v>
      </c>
      <c r="J31">
        <v>3407</v>
      </c>
      <c r="K31">
        <v>3071</v>
      </c>
      <c r="L31">
        <v>1417</v>
      </c>
      <c r="M31">
        <v>0.5</v>
      </c>
      <c r="N31">
        <v>138.70578286</v>
      </c>
      <c r="O31">
        <v>-403.15337851398903</v>
      </c>
      <c r="P31">
        <v>403.15337851398903</v>
      </c>
      <c r="Q31" s="4">
        <f>Q30</f>
        <v>0.184200641818037</v>
      </c>
      <c r="R31">
        <v>108</v>
      </c>
      <c r="S31" s="2">
        <f>S30</f>
        <v>69300</v>
      </c>
      <c r="T31" s="2">
        <f>T30</f>
        <v>171.894875978561</v>
      </c>
    </row>
    <row r="32" spans="1:20" x14ac:dyDescent="0.2">
      <c r="A32" t="s">
        <v>17</v>
      </c>
      <c r="B32">
        <v>0</v>
      </c>
      <c r="C32">
        <v>-266.55476214512402</v>
      </c>
      <c r="D32">
        <v>0.57373716600704905</v>
      </c>
      <c r="E32">
        <v>6791.7894736841999</v>
      </c>
      <c r="F32">
        <v>6131.0150000000003</v>
      </c>
      <c r="G32">
        <v>47.343745173745098</v>
      </c>
      <c r="H32">
        <v>66.515964112408597</v>
      </c>
      <c r="I32">
        <v>37.189189557739198</v>
      </c>
      <c r="J32">
        <v>3410</v>
      </c>
      <c r="K32">
        <v>3075</v>
      </c>
      <c r="L32">
        <v>1410</v>
      </c>
      <c r="M32">
        <v>0.5</v>
      </c>
      <c r="N32">
        <v>138.70578286</v>
      </c>
      <c r="O32">
        <v>-405.26054500512402</v>
      </c>
      <c r="P32">
        <v>405.26054500512402</v>
      </c>
      <c r="Q32">
        <f>(P32-P30)/(R32-R30)</f>
        <v>9.5780295051590456E-2</v>
      </c>
      <c r="R32">
        <v>130</v>
      </c>
      <c r="S32" s="2">
        <f>'capacity &amp; battery prices'!B17</f>
        <v>82500</v>
      </c>
      <c r="T32">
        <f>S32/P32</f>
        <v>203.5727410842743</v>
      </c>
    </row>
    <row r="33" spans="1:20" x14ac:dyDescent="0.2">
      <c r="A33" t="s">
        <v>18</v>
      </c>
      <c r="B33">
        <v>0</v>
      </c>
      <c r="C33">
        <v>-266.55476214512402</v>
      </c>
      <c r="D33">
        <v>1.43251087499083</v>
      </c>
      <c r="E33">
        <v>6791.7894736841999</v>
      </c>
      <c r="F33">
        <v>6131.0150000000003</v>
      </c>
      <c r="G33">
        <v>47.343745173745098</v>
      </c>
      <c r="H33">
        <v>66.515964112408597</v>
      </c>
      <c r="I33">
        <v>37.189189557739198</v>
      </c>
      <c r="J33">
        <v>3410</v>
      </c>
      <c r="K33">
        <v>3075</v>
      </c>
      <c r="L33">
        <v>1410</v>
      </c>
      <c r="M33">
        <v>0.5</v>
      </c>
      <c r="N33">
        <v>138.70578286</v>
      </c>
      <c r="O33">
        <v>-405.26054500512402</v>
      </c>
      <c r="P33">
        <v>405.26054500512402</v>
      </c>
      <c r="Q33" s="4">
        <f>Q32</f>
        <v>9.5780295051590456E-2</v>
      </c>
      <c r="R33">
        <v>130</v>
      </c>
      <c r="S33" s="2">
        <f>S32</f>
        <v>82500</v>
      </c>
      <c r="T33" s="2">
        <f>T32</f>
        <v>203.5727410842743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86D-511A-B243-BDB3-038DD71A654B}">
  <dimension ref="A1:C17"/>
  <sheetViews>
    <sheetView tabSelected="1" workbookViewId="0">
      <selection activeCell="I5" sqref="I5"/>
    </sheetView>
  </sheetViews>
  <sheetFormatPr baseColWidth="10" defaultRowHeight="16" x14ac:dyDescent="0.2"/>
  <cols>
    <col min="2" max="2" width="31" bestFit="1" customWidth="1"/>
    <col min="3" max="3" width="13" bestFit="1" customWidth="1"/>
  </cols>
  <sheetData>
    <row r="1" spans="1:3" x14ac:dyDescent="0.2">
      <c r="A1" s="1" t="s">
        <v>20</v>
      </c>
      <c r="B1" s="1" t="s">
        <v>21</v>
      </c>
      <c r="C1" s="1" t="s">
        <v>22</v>
      </c>
    </row>
    <row r="2" spans="1:3" x14ac:dyDescent="0.2">
      <c r="A2">
        <v>5</v>
      </c>
      <c r="B2" s="2">
        <v>7500</v>
      </c>
      <c r="C2" s="3">
        <v>1500</v>
      </c>
    </row>
    <row r="3" spans="1:3" x14ac:dyDescent="0.2">
      <c r="A3">
        <v>7.5</v>
      </c>
      <c r="B3" s="2">
        <v>9000</v>
      </c>
      <c r="C3" s="3">
        <v>1200</v>
      </c>
    </row>
    <row r="4" spans="1:3" x14ac:dyDescent="0.2">
      <c r="A4">
        <v>10</v>
      </c>
      <c r="B4" s="2">
        <v>10500</v>
      </c>
      <c r="C4" s="3">
        <v>1050</v>
      </c>
    </row>
    <row r="5" spans="1:3" x14ac:dyDescent="0.2">
      <c r="A5">
        <v>13.5</v>
      </c>
      <c r="B5" s="2">
        <v>12600</v>
      </c>
      <c r="C5">
        <v>933.3</v>
      </c>
    </row>
    <row r="6" spans="1:3" x14ac:dyDescent="0.2">
      <c r="A6">
        <v>15</v>
      </c>
      <c r="B6" s="2">
        <v>13500</v>
      </c>
      <c r="C6">
        <v>900</v>
      </c>
    </row>
    <row r="7" spans="1:3" x14ac:dyDescent="0.2">
      <c r="A7">
        <v>20</v>
      </c>
      <c r="B7" s="2">
        <v>16500</v>
      </c>
      <c r="C7">
        <v>825</v>
      </c>
    </row>
    <row r="8" spans="1:3" x14ac:dyDescent="0.2">
      <c r="A8">
        <v>23.5</v>
      </c>
      <c r="B8" s="2">
        <v>18600</v>
      </c>
      <c r="C8">
        <v>791.5</v>
      </c>
    </row>
    <row r="9" spans="1:3" x14ac:dyDescent="0.2">
      <c r="A9">
        <v>27</v>
      </c>
      <c r="B9" s="2">
        <v>20700</v>
      </c>
      <c r="C9">
        <v>766.7</v>
      </c>
    </row>
    <row r="10" spans="1:3" x14ac:dyDescent="0.2">
      <c r="A10">
        <v>31</v>
      </c>
      <c r="B10" s="2">
        <v>23100</v>
      </c>
      <c r="C10">
        <v>745.2</v>
      </c>
    </row>
    <row r="11" spans="1:3" x14ac:dyDescent="0.2">
      <c r="A11">
        <v>35</v>
      </c>
      <c r="B11" s="2">
        <v>25500</v>
      </c>
      <c r="C11">
        <v>728.6</v>
      </c>
    </row>
    <row r="12" spans="1:3" x14ac:dyDescent="0.2">
      <c r="A12">
        <v>38</v>
      </c>
      <c r="B12" s="2">
        <v>27300</v>
      </c>
      <c r="C12">
        <v>718.4</v>
      </c>
    </row>
    <row r="13" spans="1:3" x14ac:dyDescent="0.2">
      <c r="A13">
        <v>40.5</v>
      </c>
      <c r="B13" s="2">
        <v>28800</v>
      </c>
      <c r="C13">
        <v>711.1</v>
      </c>
    </row>
    <row r="14" spans="1:3" x14ac:dyDescent="0.2">
      <c r="A14">
        <v>54</v>
      </c>
      <c r="B14" s="2">
        <v>36900</v>
      </c>
      <c r="C14">
        <v>683.3</v>
      </c>
    </row>
    <row r="15" spans="1:3" x14ac:dyDescent="0.2">
      <c r="A15">
        <v>81</v>
      </c>
      <c r="B15" s="2">
        <v>53100</v>
      </c>
      <c r="C15">
        <v>655.6</v>
      </c>
    </row>
    <row r="16" spans="1:3" x14ac:dyDescent="0.2">
      <c r="A16">
        <v>108</v>
      </c>
      <c r="B16" s="2">
        <v>69300</v>
      </c>
      <c r="C16">
        <v>641.70000000000005</v>
      </c>
    </row>
    <row r="17" spans="1:3" x14ac:dyDescent="0.2">
      <c r="A17">
        <v>130</v>
      </c>
      <c r="B17" s="2">
        <v>82500</v>
      </c>
      <c r="C17">
        <v>634.6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F542-0146-C548-9F71-98B52213E2B1}">
  <dimension ref="A1:S33"/>
  <sheetViews>
    <sheetView topLeftCell="E1" workbookViewId="0">
      <selection activeCell="U17" sqref="U17"/>
    </sheetView>
  </sheetViews>
  <sheetFormatPr baseColWidth="10" defaultRowHeight="16" x14ac:dyDescent="0.2"/>
  <cols>
    <col min="1" max="1" width="7.33203125" bestFit="1" customWidth="1"/>
    <col min="2" max="2" width="7.5" bestFit="1" customWidth="1"/>
    <col min="3" max="3" width="14.33203125" bestFit="1" customWidth="1"/>
    <col min="4" max="4" width="13.5" bestFit="1" customWidth="1"/>
    <col min="5" max="5" width="15.33203125" bestFit="1" customWidth="1"/>
    <col min="6" max="6" width="17.83203125" bestFit="1" customWidth="1"/>
    <col min="7" max="7" width="15.6640625" bestFit="1" customWidth="1"/>
    <col min="8" max="9" width="12.1640625" bestFit="1" customWidth="1"/>
    <col min="10" max="10" width="13.5" bestFit="1" customWidth="1"/>
    <col min="11" max="11" width="15.83203125" bestFit="1" customWidth="1"/>
    <col min="12" max="12" width="11" bestFit="1" customWidth="1"/>
    <col min="13" max="13" width="8.33203125" bestFit="1" customWidth="1"/>
    <col min="14" max="14" width="12.33203125" bestFit="1" customWidth="1"/>
    <col min="15" max="15" width="12.83203125" bestFit="1" customWidth="1"/>
    <col min="16" max="16" width="12.1640625" bestFit="1" customWidth="1"/>
    <col min="17" max="17" width="19" bestFit="1" customWidth="1"/>
    <col min="19" max="19" width="11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</v>
      </c>
      <c r="S1" t="s">
        <v>24</v>
      </c>
    </row>
    <row r="2" spans="1:19" x14ac:dyDescent="0.2">
      <c r="A2" t="s">
        <v>17</v>
      </c>
      <c r="B2">
        <v>0.01</v>
      </c>
      <c r="C2">
        <v>12.513044916924899</v>
      </c>
      <c r="D2">
        <v>0.56842412502737705</v>
      </c>
      <c r="E2">
        <v>1993.93351800554</v>
      </c>
      <c r="F2">
        <v>1800.95</v>
      </c>
      <c r="G2">
        <v>400.21111111111099</v>
      </c>
      <c r="H2">
        <v>2.34304644590198</v>
      </c>
      <c r="I2">
        <v>1.9568862557942801</v>
      </c>
      <c r="J2">
        <v>1276</v>
      </c>
      <c r="K2">
        <v>1178</v>
      </c>
      <c r="L2">
        <v>5441</v>
      </c>
      <c r="M2">
        <v>0.5</v>
      </c>
      <c r="N2">
        <v>138.70578286</v>
      </c>
      <c r="O2">
        <v>-126.192737943075</v>
      </c>
      <c r="P2">
        <v>126.192737943075</v>
      </c>
      <c r="Q2">
        <v>5</v>
      </c>
      <c r="R2" s="2">
        <f>'capacity &amp; battery prices'!B2</f>
        <v>7500</v>
      </c>
      <c r="S2" s="5">
        <f>R2/P2</f>
        <v>59.4328970291715</v>
      </c>
    </row>
    <row r="3" spans="1:19" x14ac:dyDescent="0.2">
      <c r="A3" t="s">
        <v>18</v>
      </c>
      <c r="B3">
        <v>0.01</v>
      </c>
      <c r="C3">
        <v>12.513044916924899</v>
      </c>
      <c r="D3">
        <v>0.19769058300880701</v>
      </c>
      <c r="E3">
        <v>1993.93351800554</v>
      </c>
      <c r="F3">
        <v>1800.95</v>
      </c>
      <c r="G3">
        <v>400.21111111111099</v>
      </c>
      <c r="H3">
        <v>2.3432717431877501</v>
      </c>
      <c r="I3">
        <v>1.95704248311132</v>
      </c>
      <c r="J3">
        <v>1276</v>
      </c>
      <c r="K3">
        <v>1178</v>
      </c>
      <c r="L3">
        <v>5441</v>
      </c>
      <c r="M3">
        <v>0.5</v>
      </c>
      <c r="N3">
        <v>138.70578286</v>
      </c>
      <c r="O3">
        <v>-126.192737943075</v>
      </c>
      <c r="P3">
        <v>126.192737943075</v>
      </c>
      <c r="Q3">
        <v>5</v>
      </c>
      <c r="R3" s="2">
        <f>R2</f>
        <v>7500</v>
      </c>
      <c r="S3" s="5">
        <f>S2</f>
        <v>59.4328970291715</v>
      </c>
    </row>
    <row r="4" spans="1:19" x14ac:dyDescent="0.2">
      <c r="A4" t="s">
        <v>17</v>
      </c>
      <c r="B4">
        <v>0.01</v>
      </c>
      <c r="C4">
        <v>-31.0480554149303</v>
      </c>
      <c r="D4">
        <v>0.52478245901875198</v>
      </c>
      <c r="E4">
        <v>2766.5207756232599</v>
      </c>
      <c r="F4">
        <v>2498.21</v>
      </c>
      <c r="G4">
        <v>356.88714285714201</v>
      </c>
      <c r="H4">
        <v>3.4483455980376401</v>
      </c>
      <c r="I4">
        <v>2.7949116988648899</v>
      </c>
      <c r="J4">
        <v>1537</v>
      </c>
      <c r="K4">
        <v>1412</v>
      </c>
      <c r="L4">
        <v>4946</v>
      </c>
      <c r="M4">
        <v>0.5</v>
      </c>
      <c r="N4">
        <v>138.70578286</v>
      </c>
      <c r="O4">
        <v>-169.75383827492999</v>
      </c>
      <c r="P4">
        <v>169.75383827492999</v>
      </c>
      <c r="Q4">
        <v>7.5</v>
      </c>
      <c r="R4" s="2">
        <f>'capacity &amp; battery prices'!B3</f>
        <v>9000</v>
      </c>
      <c r="S4" s="5">
        <f>R4/P4</f>
        <v>53.017946995836269</v>
      </c>
    </row>
    <row r="5" spans="1:19" x14ac:dyDescent="0.2">
      <c r="A5" t="s">
        <v>18</v>
      </c>
      <c r="B5">
        <v>0.01</v>
      </c>
      <c r="C5">
        <v>-31.0480554149303</v>
      </c>
      <c r="D5">
        <v>0.19823691697092699</v>
      </c>
      <c r="E5">
        <v>2766.5207756232599</v>
      </c>
      <c r="F5">
        <v>2498.21</v>
      </c>
      <c r="G5">
        <v>356.88714285714201</v>
      </c>
      <c r="H5">
        <v>3.4483455980376401</v>
      </c>
      <c r="I5">
        <v>2.7949116988648899</v>
      </c>
      <c r="J5">
        <v>1537</v>
      </c>
      <c r="K5">
        <v>1412</v>
      </c>
      <c r="L5">
        <v>4946</v>
      </c>
      <c r="M5">
        <v>0.5</v>
      </c>
      <c r="N5">
        <v>138.70578286</v>
      </c>
      <c r="O5">
        <v>-169.75383827492999</v>
      </c>
      <c r="P5">
        <v>169.75383827492999</v>
      </c>
      <c r="Q5">
        <v>7.5</v>
      </c>
      <c r="R5" s="2">
        <f>R4</f>
        <v>9000</v>
      </c>
      <c r="S5" s="5">
        <f>S4</f>
        <v>53.017946995836269</v>
      </c>
    </row>
    <row r="6" spans="1:19" x14ac:dyDescent="0.2">
      <c r="A6" t="s">
        <v>17</v>
      </c>
      <c r="B6">
        <v>0.01</v>
      </c>
      <c r="C6">
        <v>-62.788821618808299</v>
      </c>
      <c r="D6">
        <v>0.52876766701228906</v>
      </c>
      <c r="E6">
        <v>3294.8254847645399</v>
      </c>
      <c r="F6">
        <v>2975.0050000000001</v>
      </c>
      <c r="G6">
        <v>313.15842105263101</v>
      </c>
      <c r="H6">
        <v>4.6234182530794996</v>
      </c>
      <c r="I6">
        <v>3.5088455440729498</v>
      </c>
      <c r="J6">
        <v>1724</v>
      </c>
      <c r="K6">
        <v>1587</v>
      </c>
      <c r="L6">
        <v>4584</v>
      </c>
      <c r="M6">
        <v>0.5</v>
      </c>
      <c r="N6">
        <v>138.70578286</v>
      </c>
      <c r="O6">
        <v>-201.49460447880799</v>
      </c>
      <c r="P6">
        <v>201.49460447880799</v>
      </c>
      <c r="Q6">
        <v>10</v>
      </c>
      <c r="R6" s="2">
        <f>'capacity &amp; battery prices'!B4</f>
        <v>10500</v>
      </c>
      <c r="S6" s="5">
        <f>R6/P6</f>
        <v>52.110576494887376</v>
      </c>
    </row>
    <row r="7" spans="1:19" x14ac:dyDescent="0.2">
      <c r="A7" t="s">
        <v>18</v>
      </c>
      <c r="B7">
        <v>0.01</v>
      </c>
      <c r="C7">
        <v>-62.788821618808299</v>
      </c>
      <c r="D7">
        <v>0.194780624995473</v>
      </c>
      <c r="E7">
        <v>3294.8254847645399</v>
      </c>
      <c r="F7">
        <v>2975.0050000000001</v>
      </c>
      <c r="G7">
        <v>313.15842105263101</v>
      </c>
      <c r="H7">
        <v>4.6226117154588504</v>
      </c>
      <c r="I7">
        <v>3.5083642333471299</v>
      </c>
      <c r="J7">
        <v>1724</v>
      </c>
      <c r="K7">
        <v>1587</v>
      </c>
      <c r="L7">
        <v>4584</v>
      </c>
      <c r="M7">
        <v>0.5</v>
      </c>
      <c r="N7">
        <v>138.70578286</v>
      </c>
      <c r="O7">
        <v>-201.49460447880799</v>
      </c>
      <c r="P7">
        <v>201.49460447880799</v>
      </c>
      <c r="Q7">
        <v>10</v>
      </c>
      <c r="R7" s="2">
        <f>R6</f>
        <v>10500</v>
      </c>
      <c r="S7" s="5">
        <f>S6</f>
        <v>52.110576494887376</v>
      </c>
    </row>
    <row r="8" spans="1:19" x14ac:dyDescent="0.2">
      <c r="A8" t="s">
        <v>17</v>
      </c>
      <c r="B8">
        <v>0.01</v>
      </c>
      <c r="C8">
        <v>-92.577663516037703</v>
      </c>
      <c r="D8">
        <v>0.52909583301516205</v>
      </c>
      <c r="E8">
        <v>3814.1218836564999</v>
      </c>
      <c r="F8">
        <v>3443.67</v>
      </c>
      <c r="G8">
        <v>264.89769230769201</v>
      </c>
      <c r="H8">
        <v>6.3072181784247796</v>
      </c>
      <c r="I8">
        <v>4.3693815116241996</v>
      </c>
      <c r="J8">
        <v>1991</v>
      </c>
      <c r="K8">
        <v>1850</v>
      </c>
      <c r="L8">
        <v>4054</v>
      </c>
      <c r="M8">
        <v>0.5</v>
      </c>
      <c r="N8">
        <v>138.70578286</v>
      </c>
      <c r="O8">
        <v>-231.28344637603701</v>
      </c>
      <c r="P8">
        <v>231.28344637603701</v>
      </c>
      <c r="Q8">
        <v>13.5</v>
      </c>
      <c r="R8" s="2">
        <f>'capacity &amp; battery prices'!B5</f>
        <v>12600</v>
      </c>
      <c r="S8" s="5">
        <f>R8/P8</f>
        <v>54.478607083336293</v>
      </c>
    </row>
    <row r="9" spans="1:19" x14ac:dyDescent="0.2">
      <c r="A9" t="s">
        <v>18</v>
      </c>
      <c r="B9">
        <v>0.01</v>
      </c>
      <c r="C9">
        <v>-92.577663516037703</v>
      </c>
      <c r="D9">
        <v>0.20006237505003799</v>
      </c>
      <c r="E9">
        <v>3814.1218836564999</v>
      </c>
      <c r="F9">
        <v>3443.67</v>
      </c>
      <c r="G9">
        <v>264.89769230769201</v>
      </c>
      <c r="H9">
        <v>6.3081566949288099</v>
      </c>
      <c r="I9">
        <v>4.3689191009867399</v>
      </c>
      <c r="J9">
        <v>1991</v>
      </c>
      <c r="K9">
        <v>1850</v>
      </c>
      <c r="L9">
        <v>4054</v>
      </c>
      <c r="M9">
        <v>0.5</v>
      </c>
      <c r="N9">
        <v>138.70578286</v>
      </c>
      <c r="O9">
        <v>-231.28344637603701</v>
      </c>
      <c r="P9">
        <v>231.28344637603701</v>
      </c>
      <c r="Q9">
        <v>13.5</v>
      </c>
      <c r="R9" s="2">
        <f>R8</f>
        <v>12600</v>
      </c>
      <c r="S9" s="5">
        <f>S8</f>
        <v>54.478607083336293</v>
      </c>
    </row>
    <row r="10" spans="1:19" x14ac:dyDescent="0.2">
      <c r="A10" t="s">
        <v>17</v>
      </c>
      <c r="B10">
        <v>0.01</v>
      </c>
      <c r="C10">
        <v>-100.519794854126</v>
      </c>
      <c r="D10">
        <v>0.528897625044919</v>
      </c>
      <c r="E10">
        <v>3974.7645429362801</v>
      </c>
      <c r="F10">
        <v>3588.65</v>
      </c>
      <c r="G10">
        <v>247.49310344827501</v>
      </c>
      <c r="H10">
        <v>7.01673665546845</v>
      </c>
      <c r="I10">
        <v>4.7121875422540898</v>
      </c>
      <c r="J10">
        <v>2083</v>
      </c>
      <c r="K10">
        <v>1853</v>
      </c>
      <c r="L10">
        <v>3959</v>
      </c>
      <c r="M10">
        <v>0.5</v>
      </c>
      <c r="N10">
        <v>138.70578286</v>
      </c>
      <c r="O10">
        <v>-239.22557771412599</v>
      </c>
      <c r="P10">
        <v>239.22557771412599</v>
      </c>
      <c r="Q10">
        <v>15</v>
      </c>
      <c r="R10" s="2">
        <f>'capacity &amp; battery prices'!B6</f>
        <v>13500</v>
      </c>
      <c r="S10" s="5">
        <f>R10/P10</f>
        <v>56.432092792905564</v>
      </c>
    </row>
    <row r="11" spans="1:19" x14ac:dyDescent="0.2">
      <c r="A11" t="s">
        <v>18</v>
      </c>
      <c r="B11">
        <v>0.01</v>
      </c>
      <c r="C11">
        <v>-100.519794854126</v>
      </c>
      <c r="D11">
        <v>0.19760816701455</v>
      </c>
      <c r="E11">
        <v>3974.7645429362801</v>
      </c>
      <c r="F11">
        <v>3588.65</v>
      </c>
      <c r="G11">
        <v>247.49310344827501</v>
      </c>
      <c r="H11">
        <v>7.0177598250946502</v>
      </c>
      <c r="I11">
        <v>4.7114812703490001</v>
      </c>
      <c r="J11">
        <v>2083</v>
      </c>
      <c r="K11">
        <v>1853</v>
      </c>
      <c r="L11">
        <v>3959</v>
      </c>
      <c r="M11">
        <v>0.5</v>
      </c>
      <c r="N11">
        <v>138.70578286</v>
      </c>
      <c r="O11">
        <v>-239.22557771412599</v>
      </c>
      <c r="P11">
        <v>239.22557771412599</v>
      </c>
      <c r="Q11">
        <v>15</v>
      </c>
      <c r="R11" s="2">
        <f>R10</f>
        <v>13500</v>
      </c>
      <c r="S11" s="5">
        <f>S10</f>
        <v>56.432092792905564</v>
      </c>
    </row>
    <row r="12" spans="1:19" x14ac:dyDescent="0.2">
      <c r="A12" t="s">
        <v>17</v>
      </c>
      <c r="B12">
        <v>0.01</v>
      </c>
      <c r="C12">
        <v>-115.941591077949</v>
      </c>
      <c r="D12">
        <v>0.53071662504225903</v>
      </c>
      <c r="E12">
        <v>4233.4127423822702</v>
      </c>
      <c r="F12">
        <v>3822.08</v>
      </c>
      <c r="G12">
        <v>196.004102564102</v>
      </c>
      <c r="H12">
        <v>9.4471424572068408</v>
      </c>
      <c r="I12">
        <v>5.9161534860701801</v>
      </c>
      <c r="J12">
        <v>2181</v>
      </c>
      <c r="K12">
        <v>1987</v>
      </c>
      <c r="L12">
        <v>3727</v>
      </c>
      <c r="M12">
        <v>0.5</v>
      </c>
      <c r="N12">
        <v>138.70578286</v>
      </c>
      <c r="O12">
        <v>-254.647373937949</v>
      </c>
      <c r="P12">
        <v>254.647373937949</v>
      </c>
      <c r="Q12">
        <v>20</v>
      </c>
      <c r="R12" s="2">
        <f>'capacity &amp; battery prices'!B7</f>
        <v>16500</v>
      </c>
      <c r="S12" s="5">
        <f>R12/P12</f>
        <v>64.795484614031892</v>
      </c>
    </row>
    <row r="13" spans="1:19" x14ac:dyDescent="0.2">
      <c r="A13" t="s">
        <v>18</v>
      </c>
      <c r="B13">
        <v>0.01</v>
      </c>
      <c r="C13">
        <v>-115.941591077949</v>
      </c>
      <c r="D13">
        <v>0.19596204196568501</v>
      </c>
      <c r="E13">
        <v>4233.4127423822702</v>
      </c>
      <c r="F13">
        <v>3822.08</v>
      </c>
      <c r="G13">
        <v>196.004102564102</v>
      </c>
      <c r="H13">
        <v>9.4464612328693995</v>
      </c>
      <c r="I13">
        <v>5.9145387587238396</v>
      </c>
      <c r="J13">
        <v>2181</v>
      </c>
      <c r="K13">
        <v>1987</v>
      </c>
      <c r="L13">
        <v>3727</v>
      </c>
      <c r="M13">
        <v>0.5</v>
      </c>
      <c r="N13">
        <v>138.70578286</v>
      </c>
      <c r="O13">
        <v>-254.647373937949</v>
      </c>
      <c r="P13">
        <v>254.647373937949</v>
      </c>
      <c r="Q13">
        <v>20</v>
      </c>
      <c r="R13" s="2">
        <f>R12</f>
        <v>16500</v>
      </c>
      <c r="S13" s="5">
        <f>S12</f>
        <v>64.795484614031892</v>
      </c>
    </row>
    <row r="14" spans="1:19" x14ac:dyDescent="0.2">
      <c r="A14" t="s">
        <v>17</v>
      </c>
      <c r="B14">
        <v>0.01</v>
      </c>
      <c r="C14">
        <v>-121.788298629195</v>
      </c>
      <c r="D14">
        <v>0.53109854203648799</v>
      </c>
      <c r="E14">
        <v>4319.42936288088</v>
      </c>
      <c r="F14">
        <v>3899.71</v>
      </c>
      <c r="G14">
        <v>169.552608695652</v>
      </c>
      <c r="H14">
        <v>11.269528875379899</v>
      </c>
      <c r="I14">
        <v>6.8372863498658702</v>
      </c>
      <c r="J14">
        <v>2217</v>
      </c>
      <c r="K14">
        <v>2011</v>
      </c>
      <c r="L14">
        <v>3667</v>
      </c>
      <c r="M14">
        <v>0.5</v>
      </c>
      <c r="N14">
        <v>138.70578286</v>
      </c>
      <c r="O14">
        <v>-260.49408148919503</v>
      </c>
      <c r="P14">
        <v>260.49408148919503</v>
      </c>
      <c r="Q14">
        <v>23.5</v>
      </c>
      <c r="R14" s="2">
        <f>'capacity &amp; battery prices'!B8</f>
        <v>18600</v>
      </c>
      <c r="S14" s="5">
        <f>R14/P14</f>
        <v>71.402773889016387</v>
      </c>
    </row>
    <row r="15" spans="1:19" x14ac:dyDescent="0.2">
      <c r="A15" t="s">
        <v>18</v>
      </c>
      <c r="B15">
        <v>0.01</v>
      </c>
      <c r="C15">
        <v>-121.788298629195</v>
      </c>
      <c r="D15">
        <v>0.20206133398460199</v>
      </c>
      <c r="E15">
        <v>4319.42936288088</v>
      </c>
      <c r="F15">
        <v>3899.71</v>
      </c>
      <c r="G15">
        <v>169.552608695652</v>
      </c>
      <c r="H15">
        <v>11.2699714712312</v>
      </c>
      <c r="I15">
        <v>6.8368334034198899</v>
      </c>
      <c r="J15">
        <v>2217</v>
      </c>
      <c r="K15">
        <v>2011</v>
      </c>
      <c r="L15">
        <v>3667</v>
      </c>
      <c r="M15">
        <v>0.5</v>
      </c>
      <c r="N15">
        <v>138.70578286</v>
      </c>
      <c r="O15">
        <v>-260.49408148919503</v>
      </c>
      <c r="P15">
        <v>260.49408148919503</v>
      </c>
      <c r="Q15">
        <v>23.5</v>
      </c>
      <c r="R15" s="2">
        <f>R14</f>
        <v>18600</v>
      </c>
      <c r="S15" s="5">
        <f>S14</f>
        <v>71.402773889016387</v>
      </c>
    </row>
    <row r="16" spans="1:19" x14ac:dyDescent="0.2">
      <c r="A16" t="s">
        <v>17</v>
      </c>
      <c r="B16">
        <v>0.01</v>
      </c>
      <c r="C16">
        <v>-126.321275123101</v>
      </c>
      <c r="D16">
        <v>0.53406266600359198</v>
      </c>
      <c r="E16">
        <v>4378.3213296398799</v>
      </c>
      <c r="F16">
        <v>3952.86</v>
      </c>
      <c r="G16">
        <v>149.16452830188601</v>
      </c>
      <c r="H16">
        <v>13.022885671625801</v>
      </c>
      <c r="I16">
        <v>7.7910149511222198</v>
      </c>
      <c r="J16">
        <v>2230</v>
      </c>
      <c r="K16">
        <v>2032</v>
      </c>
      <c r="L16">
        <v>3633</v>
      </c>
      <c r="M16">
        <v>0.5</v>
      </c>
      <c r="N16">
        <v>138.70578286</v>
      </c>
      <c r="O16">
        <v>-265.02705798310097</v>
      </c>
      <c r="P16">
        <v>265.02705798310097</v>
      </c>
      <c r="Q16">
        <v>27</v>
      </c>
      <c r="R16" s="2">
        <f>'capacity &amp; battery prices'!B9</f>
        <v>20700</v>
      </c>
      <c r="S16" s="5">
        <f>R16/P16</f>
        <v>78.10523256580052</v>
      </c>
    </row>
    <row r="17" spans="1:19" x14ac:dyDescent="0.2">
      <c r="A17" t="s">
        <v>18</v>
      </c>
      <c r="B17">
        <v>0.01</v>
      </c>
      <c r="C17">
        <v>-126.321275123101</v>
      </c>
      <c r="D17">
        <v>0.195774874999187</v>
      </c>
      <c r="E17">
        <v>4378.3213296398799</v>
      </c>
      <c r="F17">
        <v>3952.86</v>
      </c>
      <c r="G17">
        <v>149.16452830188601</v>
      </c>
      <c r="H17">
        <v>13.019402228976601</v>
      </c>
      <c r="I17">
        <v>7.7907804795853304</v>
      </c>
      <c r="J17">
        <v>2230</v>
      </c>
      <c r="K17">
        <v>2032</v>
      </c>
      <c r="L17">
        <v>3633</v>
      </c>
      <c r="M17">
        <v>0.5</v>
      </c>
      <c r="N17">
        <v>138.70578286</v>
      </c>
      <c r="O17">
        <v>-265.02705798310097</v>
      </c>
      <c r="P17">
        <v>265.02705798310097</v>
      </c>
      <c r="Q17">
        <v>27</v>
      </c>
      <c r="R17" s="2">
        <f>R16</f>
        <v>20700</v>
      </c>
      <c r="S17" s="5">
        <f>S16</f>
        <v>78.10523256580052</v>
      </c>
    </row>
    <row r="18" spans="1:19" x14ac:dyDescent="0.2">
      <c r="A18" t="s">
        <v>17</v>
      </c>
      <c r="B18">
        <v>0.01</v>
      </c>
      <c r="C18">
        <v>-130.576681401771</v>
      </c>
      <c r="D18">
        <v>0.53593233297578902</v>
      </c>
      <c r="E18">
        <v>4426.0664819944504</v>
      </c>
      <c r="F18">
        <v>3995.95</v>
      </c>
      <c r="G18">
        <v>131.01475409835999</v>
      </c>
      <c r="H18">
        <v>15.080688423185601</v>
      </c>
      <c r="I18">
        <v>8.8822646027768801</v>
      </c>
      <c r="J18">
        <v>2258</v>
      </c>
      <c r="K18">
        <v>2044</v>
      </c>
      <c r="L18">
        <v>3593</v>
      </c>
      <c r="M18">
        <v>0.5</v>
      </c>
      <c r="N18">
        <v>138.70578286</v>
      </c>
      <c r="O18">
        <v>-269.282464261771</v>
      </c>
      <c r="P18">
        <v>269.282464261771</v>
      </c>
      <c r="Q18">
        <v>31</v>
      </c>
      <c r="R18" s="2">
        <f>'capacity &amp; battery prices'!B10</f>
        <v>23100</v>
      </c>
      <c r="S18" s="5">
        <f>R18/P18</f>
        <v>85.783528694777388</v>
      </c>
    </row>
    <row r="19" spans="1:19" x14ac:dyDescent="0.2">
      <c r="A19" t="s">
        <v>18</v>
      </c>
      <c r="B19">
        <v>0.01</v>
      </c>
      <c r="C19">
        <v>-130.576681401771</v>
      </c>
      <c r="D19">
        <v>0.19448958302382299</v>
      </c>
      <c r="E19">
        <v>4426.0664819944504</v>
      </c>
      <c r="F19">
        <v>3995.95</v>
      </c>
      <c r="G19">
        <v>131.01475409835999</v>
      </c>
      <c r="H19">
        <v>15.080688423185601</v>
      </c>
      <c r="I19">
        <v>8.8822646027768801</v>
      </c>
      <c r="J19">
        <v>2258</v>
      </c>
      <c r="K19">
        <v>2044</v>
      </c>
      <c r="L19">
        <v>3593</v>
      </c>
      <c r="M19">
        <v>0.5</v>
      </c>
      <c r="N19">
        <v>138.70578286</v>
      </c>
      <c r="O19">
        <v>-269.282464261771</v>
      </c>
      <c r="P19">
        <v>269.282464261771</v>
      </c>
      <c r="Q19">
        <v>31</v>
      </c>
      <c r="R19" s="2">
        <f>R18</f>
        <v>23100</v>
      </c>
      <c r="S19" s="5">
        <f>S18</f>
        <v>85.783528694777388</v>
      </c>
    </row>
    <row r="20" spans="1:19" x14ac:dyDescent="0.2">
      <c r="A20" t="s">
        <v>17</v>
      </c>
      <c r="B20">
        <v>0.01</v>
      </c>
      <c r="C20">
        <v>-134.12175672254699</v>
      </c>
      <c r="D20">
        <v>0.53749358304776196</v>
      </c>
      <c r="E20">
        <v>4454.9252077562296</v>
      </c>
      <c r="F20">
        <v>4021.9949999999999</v>
      </c>
      <c r="G20">
        <v>116.57956521739101</v>
      </c>
      <c r="H20">
        <v>17.262953927371601</v>
      </c>
      <c r="I20">
        <v>10.027333317769999</v>
      </c>
      <c r="J20">
        <v>2271</v>
      </c>
      <c r="K20">
        <v>2052</v>
      </c>
      <c r="L20">
        <v>3572</v>
      </c>
      <c r="M20">
        <v>0.5</v>
      </c>
      <c r="N20">
        <v>138.70578286</v>
      </c>
      <c r="O20">
        <v>-272.82753958254699</v>
      </c>
      <c r="P20">
        <v>272.82753958254699</v>
      </c>
      <c r="Q20">
        <v>35</v>
      </c>
      <c r="R20" s="2">
        <f>'capacity &amp; battery prices'!B11</f>
        <v>25500</v>
      </c>
      <c r="S20" s="5">
        <f>R20/P20</f>
        <v>93.465637812874434</v>
      </c>
    </row>
    <row r="21" spans="1:19" x14ac:dyDescent="0.2">
      <c r="A21" t="s">
        <v>18</v>
      </c>
      <c r="B21">
        <v>0.01</v>
      </c>
      <c r="C21">
        <v>-134.12175672254699</v>
      </c>
      <c r="D21">
        <v>0.19938900001579801</v>
      </c>
      <c r="E21">
        <v>4454.9252077562296</v>
      </c>
      <c r="F21">
        <v>4021.9949999999999</v>
      </c>
      <c r="G21">
        <v>116.57956521739101</v>
      </c>
      <c r="H21">
        <v>17.262953927371601</v>
      </c>
      <c r="I21">
        <v>10.027333317769999</v>
      </c>
      <c r="J21">
        <v>2271</v>
      </c>
      <c r="K21">
        <v>2052</v>
      </c>
      <c r="L21">
        <v>3572</v>
      </c>
      <c r="M21">
        <v>0.5</v>
      </c>
      <c r="N21">
        <v>138.70578286</v>
      </c>
      <c r="O21">
        <v>-272.82753958254699</v>
      </c>
      <c r="P21">
        <v>272.82753958254699</v>
      </c>
      <c r="Q21">
        <v>35</v>
      </c>
      <c r="R21" s="2">
        <f>R20</f>
        <v>25500</v>
      </c>
      <c r="S21" s="5">
        <f>S20</f>
        <v>93.465637812874434</v>
      </c>
    </row>
    <row r="22" spans="1:19" x14ac:dyDescent="0.2">
      <c r="A22" t="s">
        <v>17</v>
      </c>
      <c r="B22">
        <v>0.01</v>
      </c>
      <c r="C22">
        <v>-136.29675103819801</v>
      </c>
      <c r="D22">
        <v>0.53885133401490704</v>
      </c>
      <c r="E22">
        <v>4488.2326869806002</v>
      </c>
      <c r="F22">
        <v>4052.0549999999898</v>
      </c>
      <c r="G22">
        <v>108.05479999999901</v>
      </c>
      <c r="H22">
        <v>18.834401829040601</v>
      </c>
      <c r="I22">
        <v>10.9725892454034</v>
      </c>
      <c r="J22">
        <v>2280</v>
      </c>
      <c r="K22">
        <v>2064</v>
      </c>
      <c r="L22">
        <v>3551</v>
      </c>
      <c r="M22">
        <v>0.5</v>
      </c>
      <c r="N22">
        <v>138.70578286</v>
      </c>
      <c r="O22">
        <v>-275.00253389819801</v>
      </c>
      <c r="P22">
        <v>275.00253389819801</v>
      </c>
      <c r="Q22">
        <v>38</v>
      </c>
      <c r="R22" s="2">
        <f>'capacity &amp; battery prices'!B12</f>
        <v>27300</v>
      </c>
      <c r="S22" s="5">
        <f>R22/P22</f>
        <v>99.27181256484738</v>
      </c>
    </row>
    <row r="23" spans="1:19" x14ac:dyDescent="0.2">
      <c r="A23" t="s">
        <v>18</v>
      </c>
      <c r="B23">
        <v>0.01</v>
      </c>
      <c r="C23">
        <v>-136.29675103819801</v>
      </c>
      <c r="D23">
        <v>0.195868083043023</v>
      </c>
      <c r="E23">
        <v>4488.2326869806002</v>
      </c>
      <c r="F23">
        <v>4052.0549999999898</v>
      </c>
      <c r="G23">
        <v>108.05479999999901</v>
      </c>
      <c r="H23">
        <v>18.834401829040601</v>
      </c>
      <c r="I23">
        <v>10.9725892454034</v>
      </c>
      <c r="J23">
        <v>2280</v>
      </c>
      <c r="K23">
        <v>2064</v>
      </c>
      <c r="L23">
        <v>3551</v>
      </c>
      <c r="M23">
        <v>0.5</v>
      </c>
      <c r="N23">
        <v>138.70578286</v>
      </c>
      <c r="O23">
        <v>-275.00253389819801</v>
      </c>
      <c r="P23">
        <v>275.00253389819801</v>
      </c>
      <c r="Q23">
        <v>38</v>
      </c>
      <c r="R23" s="2">
        <f>R22</f>
        <v>27300</v>
      </c>
      <c r="S23" s="5">
        <f>S22</f>
        <v>99.27181256484738</v>
      </c>
    </row>
    <row r="24" spans="1:19" x14ac:dyDescent="0.2">
      <c r="A24" t="s">
        <v>17</v>
      </c>
      <c r="B24">
        <v>0.01</v>
      </c>
      <c r="C24">
        <v>-137.870726027394</v>
      </c>
      <c r="D24">
        <v>0.53754470800049603</v>
      </c>
      <c r="E24">
        <v>4503.2299168974996</v>
      </c>
      <c r="F24">
        <v>4065.5899999999901</v>
      </c>
      <c r="G24">
        <v>101.639749999999</v>
      </c>
      <c r="H24">
        <v>20.150503252812801</v>
      </c>
      <c r="I24">
        <v>11.7001949714547</v>
      </c>
      <c r="J24">
        <v>2288</v>
      </c>
      <c r="K24">
        <v>2064</v>
      </c>
      <c r="L24">
        <v>3543</v>
      </c>
      <c r="M24">
        <v>0.5</v>
      </c>
      <c r="N24">
        <v>138.70578286</v>
      </c>
      <c r="O24">
        <v>-276.57650888739403</v>
      </c>
      <c r="P24">
        <v>276.57650888739403</v>
      </c>
      <c r="Q24">
        <v>40.5</v>
      </c>
      <c r="R24" s="2">
        <f>'capacity &amp; battery prices'!B13</f>
        <v>28800</v>
      </c>
      <c r="S24" s="5">
        <f>R24/P24</f>
        <v>104.13031864439975</v>
      </c>
    </row>
    <row r="25" spans="1:19" x14ac:dyDescent="0.2">
      <c r="A25" t="s">
        <v>18</v>
      </c>
      <c r="B25">
        <v>0.01</v>
      </c>
      <c r="C25">
        <v>-137.870726027394</v>
      </c>
      <c r="D25">
        <v>0.194941708992701</v>
      </c>
      <c r="E25">
        <v>4503.2299168974996</v>
      </c>
      <c r="F25">
        <v>4065.5899999999901</v>
      </c>
      <c r="G25">
        <v>101.639749999999</v>
      </c>
      <c r="H25">
        <v>20.150812536660801</v>
      </c>
      <c r="I25">
        <v>11.7002211827404</v>
      </c>
      <c r="J25">
        <v>2288</v>
      </c>
      <c r="K25">
        <v>2064</v>
      </c>
      <c r="L25">
        <v>3543</v>
      </c>
      <c r="M25">
        <v>0.5</v>
      </c>
      <c r="N25">
        <v>138.70578286</v>
      </c>
      <c r="O25">
        <v>-276.57650888739403</v>
      </c>
      <c r="P25">
        <v>276.57650888739403</v>
      </c>
      <c r="Q25">
        <v>40.5</v>
      </c>
      <c r="R25" s="2">
        <f>R24</f>
        <v>28800</v>
      </c>
      <c r="S25" s="5">
        <f>S24</f>
        <v>104.13031864439975</v>
      </c>
    </row>
    <row r="26" spans="1:19" x14ac:dyDescent="0.2">
      <c r="A26" t="s">
        <v>17</v>
      </c>
      <c r="B26">
        <v>0.01</v>
      </c>
      <c r="C26">
        <v>-144.648481710358</v>
      </c>
      <c r="D26">
        <v>0.54466445895377502</v>
      </c>
      <c r="E26">
        <v>4531.3240997229896</v>
      </c>
      <c r="F26">
        <v>4090.9449999999902</v>
      </c>
      <c r="G26">
        <v>76.466261682242902</v>
      </c>
      <c r="H26">
        <v>27.5194428891377</v>
      </c>
      <c r="I26">
        <v>15.703398584155201</v>
      </c>
      <c r="J26">
        <v>2294</v>
      </c>
      <c r="K26">
        <v>2073</v>
      </c>
      <c r="L26">
        <v>3528</v>
      </c>
      <c r="M26">
        <v>0.5</v>
      </c>
      <c r="N26">
        <v>138.70578286</v>
      </c>
      <c r="O26">
        <v>-283.354264570358</v>
      </c>
      <c r="P26">
        <v>283.354264570358</v>
      </c>
      <c r="Q26">
        <v>54</v>
      </c>
      <c r="R26" s="2">
        <f>'capacity &amp; battery prices'!B14</f>
        <v>36900</v>
      </c>
      <c r="S26" s="5">
        <f>R26/P26</f>
        <v>130.22567370196606</v>
      </c>
    </row>
    <row r="27" spans="1:19" x14ac:dyDescent="0.2">
      <c r="A27" t="s">
        <v>18</v>
      </c>
      <c r="B27">
        <v>0.01</v>
      </c>
      <c r="C27">
        <v>-144.648481710358</v>
      </c>
      <c r="D27">
        <v>0.19606816599844001</v>
      </c>
      <c r="E27">
        <v>4531.3240997229896</v>
      </c>
      <c r="F27">
        <v>4090.9449999999902</v>
      </c>
      <c r="G27">
        <v>76.466261682242902</v>
      </c>
      <c r="H27">
        <v>27.519752172985601</v>
      </c>
      <c r="I27">
        <v>15.703538881541601</v>
      </c>
      <c r="J27">
        <v>2294</v>
      </c>
      <c r="K27">
        <v>2073</v>
      </c>
      <c r="L27">
        <v>3528</v>
      </c>
      <c r="M27">
        <v>0.5</v>
      </c>
      <c r="N27">
        <v>138.70578286</v>
      </c>
      <c r="O27">
        <v>-283.354264570358</v>
      </c>
      <c r="P27">
        <v>283.354264570358</v>
      </c>
      <c r="Q27">
        <v>54</v>
      </c>
      <c r="R27" s="2">
        <f>R26</f>
        <v>36900</v>
      </c>
      <c r="S27" s="5">
        <f>S26</f>
        <v>130.22567370196606</v>
      </c>
    </row>
    <row r="28" spans="1:19" x14ac:dyDescent="0.2">
      <c r="A28" t="s">
        <v>17</v>
      </c>
      <c r="B28">
        <v>0.01</v>
      </c>
      <c r="C28">
        <v>-153.35360061769799</v>
      </c>
      <c r="D28">
        <v>0.56895045796409205</v>
      </c>
      <c r="E28">
        <v>4624.3324099722904</v>
      </c>
      <c r="F28">
        <v>4174.8849999999902</v>
      </c>
      <c r="G28">
        <v>51.861925465838397</v>
      </c>
      <c r="H28">
        <v>42.208828587425998</v>
      </c>
      <c r="I28">
        <v>23.645279426412898</v>
      </c>
      <c r="J28">
        <v>2330</v>
      </c>
      <c r="K28">
        <v>2104</v>
      </c>
      <c r="L28">
        <v>3461</v>
      </c>
      <c r="M28">
        <v>0.5</v>
      </c>
      <c r="N28">
        <v>138.70578286</v>
      </c>
      <c r="O28">
        <v>-292.05938347769802</v>
      </c>
      <c r="P28">
        <v>292.05938347769802</v>
      </c>
      <c r="Q28">
        <v>81</v>
      </c>
      <c r="R28" s="2">
        <f>'capacity &amp; battery prices'!B15</f>
        <v>53100</v>
      </c>
      <c r="S28" s="5">
        <f>R28/P28</f>
        <v>181.81234024297245</v>
      </c>
    </row>
    <row r="29" spans="1:19" x14ac:dyDescent="0.2">
      <c r="A29" t="s">
        <v>18</v>
      </c>
      <c r="B29">
        <v>0.01</v>
      </c>
      <c r="C29">
        <v>-153.35360061769799</v>
      </c>
      <c r="D29">
        <v>0.19559608300914899</v>
      </c>
      <c r="E29">
        <v>4624.3324099722904</v>
      </c>
      <c r="F29">
        <v>4174.8849999999902</v>
      </c>
      <c r="G29">
        <v>51.861925465838397</v>
      </c>
      <c r="H29">
        <v>42.208828587425998</v>
      </c>
      <c r="I29">
        <v>23.645279426412898</v>
      </c>
      <c r="J29">
        <v>2330</v>
      </c>
      <c r="K29">
        <v>2104</v>
      </c>
      <c r="L29">
        <v>3461</v>
      </c>
      <c r="M29">
        <v>0.5</v>
      </c>
      <c r="N29">
        <v>138.70578286</v>
      </c>
      <c r="O29">
        <v>-292.05938347769802</v>
      </c>
      <c r="P29">
        <v>292.05938347769802</v>
      </c>
      <c r="Q29">
        <v>81</v>
      </c>
      <c r="R29" s="2">
        <f>R28</f>
        <v>53100</v>
      </c>
      <c r="S29" s="5">
        <f>S28</f>
        <v>181.81234024297245</v>
      </c>
    </row>
    <row r="30" spans="1:19" x14ac:dyDescent="0.2">
      <c r="A30" t="s">
        <v>17</v>
      </c>
      <c r="B30">
        <v>0.01</v>
      </c>
      <c r="C30">
        <v>-158.17672271659001</v>
      </c>
      <c r="D30">
        <v>0.58952987502561804</v>
      </c>
      <c r="E30">
        <v>4620.7756232686897</v>
      </c>
      <c r="F30">
        <v>4171.6750000000002</v>
      </c>
      <c r="G30">
        <v>38.806279069767399</v>
      </c>
      <c r="H30">
        <v>55.112779288647097</v>
      </c>
      <c r="I30">
        <v>31.319192288714898</v>
      </c>
      <c r="J30">
        <v>2326</v>
      </c>
      <c r="K30">
        <v>2097</v>
      </c>
      <c r="L30">
        <v>3472</v>
      </c>
      <c r="M30">
        <v>0.5</v>
      </c>
      <c r="N30">
        <v>138.70578286</v>
      </c>
      <c r="O30">
        <v>-296.88250557659001</v>
      </c>
      <c r="P30">
        <v>296.88250557659001</v>
      </c>
      <c r="Q30">
        <v>108</v>
      </c>
      <c r="R30" s="2">
        <f>'capacity &amp; battery prices'!B16</f>
        <v>69300</v>
      </c>
      <c r="S30" s="5">
        <f>R30/P30</f>
        <v>233.42567749288253</v>
      </c>
    </row>
    <row r="31" spans="1:19" x14ac:dyDescent="0.2">
      <c r="A31" t="s">
        <v>18</v>
      </c>
      <c r="B31">
        <v>0.01</v>
      </c>
      <c r="C31">
        <v>-158.17672271659001</v>
      </c>
      <c r="D31">
        <v>0.19720150000648501</v>
      </c>
      <c r="E31">
        <v>4620.7756232686897</v>
      </c>
      <c r="F31">
        <v>4171.6750000000002</v>
      </c>
      <c r="G31">
        <v>38.806279069767399</v>
      </c>
      <c r="H31">
        <v>55.1105823068308</v>
      </c>
      <c r="I31">
        <v>31.3186683173878</v>
      </c>
      <c r="J31">
        <v>2326</v>
      </c>
      <c r="K31">
        <v>2097</v>
      </c>
      <c r="L31">
        <v>3472</v>
      </c>
      <c r="M31">
        <v>0.5</v>
      </c>
      <c r="N31">
        <v>138.70578286</v>
      </c>
      <c r="O31">
        <v>-296.88250557659001</v>
      </c>
      <c r="P31">
        <v>296.88250557659001</v>
      </c>
      <c r="Q31">
        <v>108</v>
      </c>
      <c r="R31" s="2">
        <f>R30</f>
        <v>69300</v>
      </c>
      <c r="S31" s="5">
        <f>S30</f>
        <v>233.42567749288253</v>
      </c>
    </row>
    <row r="32" spans="1:19" x14ac:dyDescent="0.2">
      <c r="A32" t="s">
        <v>17</v>
      </c>
      <c r="B32">
        <v>0.01</v>
      </c>
      <c r="C32">
        <v>-160.25684007628601</v>
      </c>
      <c r="D32">
        <v>0.58831141603877701</v>
      </c>
      <c r="E32">
        <v>4613.9224376731199</v>
      </c>
      <c r="F32">
        <v>4165.49</v>
      </c>
      <c r="G32">
        <v>32.1659459459459</v>
      </c>
      <c r="H32">
        <v>65.018118434383794</v>
      </c>
      <c r="I32">
        <v>37.134372511262697</v>
      </c>
      <c r="J32">
        <v>2322</v>
      </c>
      <c r="K32">
        <v>2090</v>
      </c>
      <c r="L32">
        <v>3483</v>
      </c>
      <c r="M32">
        <v>0.5</v>
      </c>
      <c r="N32">
        <v>138.70578286</v>
      </c>
      <c r="O32">
        <v>-298.96262293628598</v>
      </c>
      <c r="P32">
        <v>298.96262293628598</v>
      </c>
      <c r="Q32">
        <v>130</v>
      </c>
      <c r="R32" s="2">
        <f>'capacity &amp; battery prices'!B17</f>
        <v>82500</v>
      </c>
      <c r="S32" s="5">
        <f>R32/P32</f>
        <v>275.95422862470053</v>
      </c>
    </row>
    <row r="33" spans="1:19" x14ac:dyDescent="0.2">
      <c r="A33" t="s">
        <v>18</v>
      </c>
      <c r="B33">
        <v>0.01</v>
      </c>
      <c r="C33">
        <v>-160.25684007628601</v>
      </c>
      <c r="D33">
        <v>0.196846334030851</v>
      </c>
      <c r="E33">
        <v>4613.9224376731199</v>
      </c>
      <c r="F33">
        <v>4165.49</v>
      </c>
      <c r="G33">
        <v>32.1659459459459</v>
      </c>
      <c r="H33">
        <v>65.018118434383794</v>
      </c>
      <c r="I33">
        <v>37.134372511262697</v>
      </c>
      <c r="J33">
        <v>2322</v>
      </c>
      <c r="K33">
        <v>2090</v>
      </c>
      <c r="L33">
        <v>3483</v>
      </c>
      <c r="M33">
        <v>0.5</v>
      </c>
      <c r="N33">
        <v>138.70578286</v>
      </c>
      <c r="O33">
        <v>-298.96262293628598</v>
      </c>
      <c r="P33">
        <v>298.96262293628598</v>
      </c>
      <c r="Q33">
        <v>130</v>
      </c>
      <c r="R33" s="2">
        <f>R32</f>
        <v>82500</v>
      </c>
      <c r="S33" s="5">
        <f>S32</f>
        <v>275.95422862470053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capacity_sweep_fee_0.00</vt:lpstr>
      <vt:lpstr>capacity &amp; battery prices</vt:lpstr>
      <vt:lpstr>capacity_sweep_fee_0.01</vt:lpstr>
      <vt:lpstr>capacity_sweep_fee_0.01!capacity_sweep_fee_0.01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Balint Kovacs</cp:lastModifiedBy>
  <dcterms:created xsi:type="dcterms:W3CDTF">2026-04-10T10:27:18Z</dcterms:created>
  <dcterms:modified xsi:type="dcterms:W3CDTF">2026-04-10T10:27:33Z</dcterms:modified>
</cp:coreProperties>
</file>